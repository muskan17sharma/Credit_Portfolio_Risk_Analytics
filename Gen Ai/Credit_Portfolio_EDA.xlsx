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ka\Downloads\"/>
    </mc:Choice>
  </mc:AlternateContent>
  <xr:revisionPtr revIDLastSave="0" documentId="13_ncr:1_{406EC908-09A8-42E3-ADB0-FB73CC9783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Cover &amp; Summary" sheetId="1" r:id="rId1"/>
    <sheet name="2. Dataset Overview" sheetId="2" r:id="rId2"/>
    <sheet name="3. Data Quality" sheetId="3" r:id="rId3"/>
    <sheet name="4. Loan Portfolio EDA" sheetId="4" r:id="rId4"/>
    <sheet name="5. Credit Ratings" sheetId="5" r:id="rId5"/>
    <sheet name="6. Vintage Analysis" sheetId="6" r:id="rId6"/>
    <sheet name="7. Macro Stress" sheetId="7" r:id="rId7"/>
    <sheet name="8. Portfolio Metrics" sheetId="8" r:id="rId8"/>
    <sheet name="9. Cross-Dataset Analysis" sheetId="9" r:id="rId9"/>
    <sheet name="10. Risk Concentration" sheetId="10" r:id="rId10"/>
    <sheet name="11. KPI &amp; Viz Plan" sheetId="11" r:id="rId11"/>
    <sheet name="12. Findings &amp; Recommendations" sheetId="12" r:id="rId12"/>
  </sheets>
  <calcPr calcId="0"/>
</workbook>
</file>

<file path=xl/sharedStrings.xml><?xml version="1.0" encoding="utf-8"?>
<sst xmlns="http://schemas.openxmlformats.org/spreadsheetml/2006/main" count="645" uniqueCount="409">
  <si>
    <t>Credit Portfolio Risk Analytics - EDA Workbook</t>
  </si>
  <si>
    <t>Workbook Summary</t>
  </si>
  <si>
    <t>Project</t>
  </si>
  <si>
    <t>Credit Portfolio Risk Analytics - Exploratory Data Analysis</t>
  </si>
  <si>
    <t>Scope</t>
  </si>
  <si>
    <t>5 datasets: Loan Portfolio, Macro Stress Scenarios, Portfolio Metrics, Vintage Analysis, Credit Ratings</t>
  </si>
  <si>
    <t>Total Loans Analyzed</t>
  </si>
  <si>
    <t>Total Issuers (Ratings)</t>
  </si>
  <si>
    <t>Portfolio EAD (full extract)</t>
  </si>
  <si>
    <t>$164.93 Billion</t>
  </si>
  <si>
    <t>Overall Default Rate</t>
  </si>
  <si>
    <t>Overall EL Rate</t>
  </si>
  <si>
    <t>Time Coverage</t>
  </si>
  <si>
    <t>2015 - 2024 (10 years)</t>
  </si>
  <si>
    <t>Sectors Covered</t>
  </si>
  <si>
    <t>10 (Consumer, Energy, Financials, Healthcare, Industrials, Real_Estate, Retail, Technology, Telecom, Utilities)</t>
  </si>
  <si>
    <t>How to use this workbook</t>
  </si>
  <si>
    <t>Dataset Overview</t>
  </si>
  <si>
    <t>File</t>
  </si>
  <si>
    <t>Rows</t>
  </si>
  <si>
    <t>Columns</t>
  </si>
  <si>
    <t>Business Purpose</t>
  </si>
  <si>
    <t>loan_portfolio.csv</t>
  </si>
  <si>
    <t>Loan-level credit risk data: borrower/loan characteristics, PD/LGD/EL/RWA, default flags</t>
  </si>
  <si>
    <t>macro_stress_scenarios.csv</t>
  </si>
  <si>
    <t>Sector-level EL sensitivity under 6 macro scenarios (baseline to covid-like)</t>
  </si>
  <si>
    <t>portfolio_metrics.csv</t>
  </si>
  <si>
    <t>Monthly portfolio-level time series (Jan 2015-Dec 2024): exposure, risk &amp; macro indicators</t>
  </si>
  <si>
    <t>vintage_analysis.csv</t>
  </si>
  <si>
    <t>Quarterly origination cohort (vintage) performance tracked monthly for 60 months</t>
  </si>
  <si>
    <t>credit_ratings.csv</t>
  </si>
  <si>
    <t>Issuer-level annual rating transitions, upgrades/downgrades/defaults (2015-2024)</t>
  </si>
  <si>
    <t>Data Quality Assessment</t>
  </si>
  <si>
    <t>Missing Values</t>
  </si>
  <si>
    <t>Dataset</t>
  </si>
  <si>
    <t>Column(s)</t>
  </si>
  <si>
    <t>Missing Count (%)</t>
  </si>
  <si>
    <t>Note</t>
  </si>
  <si>
    <t>loan_portfolio</t>
  </si>
  <si>
    <t>default_date, recovery_rate, loss_given_default</t>
  </si>
  <si>
    <t>43,050 (86.1%)</t>
  </si>
  <si>
    <t>Expected - null only when defaulted=0 (non-defaulted loans have no default/recovery data). VERIFIED consistent.</t>
  </si>
  <si>
    <t>None else</t>
  </si>
  <si>
    <t>No other missing values</t>
  </si>
  <si>
    <t>macro_stress_scenarios</t>
  </si>
  <si>
    <t>None</t>
  </si>
  <si>
    <t>Complete</t>
  </si>
  <si>
    <t>portfolio_metrics</t>
  </si>
  <si>
    <t>vintage_analysis</t>
  </si>
  <si>
    <t>credit_ratings</t>
  </si>
  <si>
    <t>Duplicate Records</t>
  </si>
  <si>
    <t>Duplicate Rows</t>
  </si>
  <si>
    <t>loan_id unique for all 50,000 rows</t>
  </si>
  <si>
    <t>Unique scenario x sector combinations (6 x 10 = 60)</t>
  </si>
  <si>
    <t>One row per month, 2015-01 to 2024-12 (120 months)</t>
  </si>
  <si>
    <t>36 vintages x 60 months = 2,160 rows, complete panel</t>
  </si>
  <si>
    <t>2,000 issuers, ~9 records/issuer (avg) across 2015-2024</t>
  </si>
  <si>
    <t>Inconsistencies</t>
  </si>
  <si>
    <t>Dataset(s)</t>
  </si>
  <si>
    <t>Field(s)</t>
  </si>
  <si>
    <t>Extent</t>
  </si>
  <si>
    <t>Observation</t>
  </si>
  <si>
    <t>maturity_months vs (maturity_date - origination_date)</t>
  </si>
  <si>
    <t>19,350 loans (38.7%)</t>
  </si>
  <si>
    <t>For these loans maturity_date is capped at a fixed 31-12-2024 "as-of" ceiling rather than reflecting origination+maturity_months. maturity_months should be treated as the contractual tenor field; maturity_date appears capped/truncated at the data extract date for long-dated loans.</t>
  </si>
  <si>
    <t>defaulted flag vs default_date/recovery_rate/loss_given_default</t>
  </si>
  <si>
    <t>0 mismatches</t>
  </si>
  <si>
    <t>Fully consistent: every defaulted=1 loan has a default_date, recovery_rate and loss_given_default; every defaulted=0 loan has none.</t>
  </si>
  <si>
    <t>portfolio_metrics vs loan_portfolio</t>
  </si>
  <si>
    <t>total_ead level</t>
  </si>
  <si>
    <t>Not reconcilable 1:1</t>
  </si>
  <si>
    <t>portfolio_metrics.total_ead (peaks ~$81.5B, ends 2024-12 at $64.3B active) does not equal loan_portfolio total EAD ($164.9B, all originated loans including matured/defaulted). portfolio_metrics reflects a rolling ACTIVE book snapshot, not the full static extract - the two are complementary, not contradictory.</t>
  </si>
  <si>
    <t>Outliers - loan_portfolio (IQR 1.5x method)</t>
  </si>
  <si>
    <t>Variable</t>
  </si>
  <si>
    <t>IQR Lower Bound</t>
  </si>
  <si>
    <t>IQR Upper Bound</t>
  </si>
  <si>
    <t>Outlier Count</t>
  </si>
  <si>
    <t>Outlier %</t>
  </si>
  <si>
    <t>ead</t>
  </si>
  <si>
    <t>pd_annual</t>
  </si>
  <si>
    <t>lgd</t>
  </si>
  <si>
    <t>leverage</t>
  </si>
  <si>
    <t>interest_coverage</t>
  </si>
  <si>
    <t>debt_to_equity</t>
  </si>
  <si>
    <t>credit_score</t>
  </si>
  <si>
    <t>coupon_rate</t>
  </si>
  <si>
    <t>Loan Portfolio - Univariate &amp; Bivariate Analysis</t>
  </si>
  <si>
    <t>Numeric Variable Summary Statistics</t>
  </si>
  <si>
    <t>count</t>
  </si>
  <si>
    <t>mean</t>
  </si>
  <si>
    <t>std</t>
  </si>
  <si>
    <t>min</t>
  </si>
  <si>
    <t>25%</t>
  </si>
  <si>
    <t>50%</t>
  </si>
  <si>
    <t>75%</t>
  </si>
  <si>
    <t>max</t>
  </si>
  <si>
    <t>maturity_months</t>
  </si>
  <si>
    <t>el</t>
  </si>
  <si>
    <t>unexpected_loss</t>
  </si>
  <si>
    <t>rwa</t>
  </si>
  <si>
    <t>Loans by Sector</t>
  </si>
  <si>
    <t>Loans by Type</t>
  </si>
  <si>
    <t>Loans by Initial Rating</t>
  </si>
  <si>
    <t>Sector</t>
  </si>
  <si>
    <t>Loan Count</t>
  </si>
  <si>
    <t>Loan Type</t>
  </si>
  <si>
    <t>Count</t>
  </si>
  <si>
    <t>Initial Rating</t>
  </si>
  <si>
    <t>Energy</t>
  </si>
  <si>
    <t>term_loan</t>
  </si>
  <si>
    <t>AAA</t>
  </si>
  <si>
    <t>Telecom</t>
  </si>
  <si>
    <t>mortgage</t>
  </si>
  <si>
    <t>AA</t>
  </si>
  <si>
    <t>Consumer</t>
  </si>
  <si>
    <t>revolving</t>
  </si>
  <si>
    <t>A</t>
  </si>
  <si>
    <t>Financials</t>
  </si>
  <si>
    <t>bond</t>
  </si>
  <si>
    <t>BBB</t>
  </si>
  <si>
    <t>Industrials</t>
  </si>
  <si>
    <t>lease</t>
  </si>
  <si>
    <t>BB</t>
  </si>
  <si>
    <t>Healthcare</t>
  </si>
  <si>
    <t>B</t>
  </si>
  <si>
    <t>Technology</t>
  </si>
  <si>
    <t>CCC</t>
  </si>
  <si>
    <t>Utilities</t>
  </si>
  <si>
    <t>Retail</t>
  </si>
  <si>
    <t>Real_Estate</t>
  </si>
  <si>
    <t>Default Rate by Initial Rating</t>
  </si>
  <si>
    <t>Default Rate</t>
  </si>
  <si>
    <t>Default Rate by Sector</t>
  </si>
  <si>
    <t>Default Rate by Loan Type</t>
  </si>
  <si>
    <t>Default Rate by Credit Score Band</t>
  </si>
  <si>
    <t>Credit Score Band</t>
  </si>
  <si>
    <t>500-580</t>
  </si>
  <si>
    <t>580-620</t>
  </si>
  <si>
    <t>620-660</t>
  </si>
  <si>
    <t>660-700</t>
  </si>
  <si>
    <t>700-740</t>
  </si>
  <si>
    <t>740-780</t>
  </si>
  <si>
    <t>780-850</t>
  </si>
  <si>
    <t>Default Rate by Maturity Bucket</t>
  </si>
  <si>
    <t>Maturity Bucket</t>
  </si>
  <si>
    <t>0-24m</t>
  </si>
  <si>
    <t>24-48m</t>
  </si>
  <si>
    <t>48-72m</t>
  </si>
  <si>
    <t>72-96m</t>
  </si>
  <si>
    <t>96-120m</t>
  </si>
  <si>
    <t>Correlation Matrix (key risk drivers)</t>
  </si>
  <si>
    <t>defaulted</t>
  </si>
  <si>
    <t>Credit Ratings - Transition Matrix &amp; Trends</t>
  </si>
  <si>
    <t>Rating Transition Matrix (% probability, row=from, col=to)</t>
  </si>
  <si>
    <t>from_rating</t>
  </si>
  <si>
    <t>D</t>
  </si>
  <si>
    <t>Rating Transition Matrix (counts)</t>
  </si>
  <si>
    <t>Upgrade / Downgrade / Default Rate by Year</t>
  </si>
  <si>
    <t>year</t>
  </si>
  <si>
    <t>upgraded</t>
  </si>
  <si>
    <t>downgraded</t>
  </si>
  <si>
    <t>Default Rate by Year &amp; Sector</t>
  </si>
  <si>
    <t>Vintage (Cohort) Analysis</t>
  </si>
  <si>
    <t>Terminal (60-month) Cumulative Default Rate by Vintage</t>
  </si>
  <si>
    <t>vintage</t>
  </si>
  <si>
    <t>cumulative_default_rate</t>
  </si>
  <si>
    <t>avg_pd_at_origination</t>
  </si>
  <si>
    <t>avg_credit_score</t>
  </si>
  <si>
    <t>n_loans_originated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</si>
  <si>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</si>
  <si>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</si>
  <si>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</si>
  <si>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</si>
  <si>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</si>
  <si>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</si>
  <si>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</si>
  <si>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</si>
  <si>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</si>
  <si>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</si>
  <si>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</si>
  <si>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</si>
  <si>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</si>
  <si>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</si>
  <si>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</si>
  <si>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</si>
  <si>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</si>
  <si>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</si>
  <si>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</si>
  <si>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</si>
  <si>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</si>
  <si>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</si>
  <si>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</si>
  <si>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</si>
  <si>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</si>
  <si>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</si>
  <si>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</si>
  <si>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</si>
  <si>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</si>
  <si>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</si>
  <si>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</si>
  <si>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</si>
  <si>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</si>
  <si>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</si>
  <si>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</si>
  <si>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</si>
  <si>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Cumulative Default Rate Curves - Selected Vintages (by months on books)</t>
  </si>
  <si>
    <t>months_on_books</t>
  </si>
  <si>
    <t>Macro Stress Scenario Analysis</t>
  </si>
  <si>
    <t>Scenario Definitions &amp; Average PD Multiplier / EL Impact</t>
  </si>
  <si>
    <t>scenario</t>
  </si>
  <si>
    <t>gdp_shock_pp</t>
  </si>
  <si>
    <t>unemp_shock_pp</t>
  </si>
  <si>
    <t>rate_shock_pp</t>
  </si>
  <si>
    <t>credit_spread_bps</t>
  </si>
  <si>
    <t>pd_multiplier</t>
  </si>
  <si>
    <t>el_increase_pct</t>
  </si>
  <si>
    <t>baseline</t>
  </si>
  <si>
    <t>mild</t>
  </si>
  <si>
    <t>adverse</t>
  </si>
  <si>
    <t>severe</t>
  </si>
  <si>
    <t>gfc_like</t>
  </si>
  <si>
    <t>covid_like</t>
  </si>
  <si>
    <t>Expected Loss Increase % by Sector &amp; Scenario (vs baseline)</t>
  </si>
  <si>
    <t>sector</t>
  </si>
  <si>
    <t>Stressed Expected Loss ($) by Sector &amp; Scenario</t>
  </si>
  <si>
    <t>Portfolio Metrics - Time Series (2015-2024)</t>
  </si>
  <si>
    <t>Yearly Summary</t>
  </si>
  <si>
    <t>avg_active_loans</t>
  </si>
  <si>
    <t>avg_total_ead</t>
  </si>
  <si>
    <t>avg_el_rate</t>
  </si>
  <si>
    <t>avg_pd</t>
  </si>
  <si>
    <t>total_new_defaults</t>
  </si>
  <si>
    <t>avg_gdp_growth</t>
  </si>
  <si>
    <t>avg_unemployment</t>
  </si>
  <si>
    <t>avg_credit_spread</t>
  </si>
  <si>
    <t>Correlation: Macro Variables vs Portfolio Risk Metrics (monthly)</t>
  </si>
  <si>
    <t>gdp_growth</t>
  </si>
  <si>
    <t>unemployment</t>
  </si>
  <si>
    <t>policy_rate</t>
  </si>
  <si>
    <t>el_rate</t>
  </si>
  <si>
    <t>new_defaults</t>
  </si>
  <si>
    <t>var_99</t>
  </si>
  <si>
    <t>Full Monthly Time Series</t>
  </si>
  <si>
    <t>date</t>
  </si>
  <si>
    <t>n_active_loans</t>
  </si>
  <si>
    <t>total_ead</t>
  </si>
  <si>
    <t>avg_lgd</t>
  </si>
  <si>
    <t>sector_hhi</t>
  </si>
  <si>
    <t>Cross-Dataset Relationships &amp; Join Feasibility</t>
  </si>
  <si>
    <t>Datasets</t>
  </si>
  <si>
    <t>Relationship Found</t>
  </si>
  <si>
    <t>Conclusion</t>
  </si>
  <si>
    <t>loan_portfolio &lt;-&gt; vintage_analysis</t>
  </si>
  <si>
    <t>Derived match: origination quarter (from origination_date) = vintage; loan counts per quarter match n_loans_originated EXACTLY for all 36 vintages</t>
  </si>
  <si>
    <t>Confirmed - vintage_analysis is a direct cohort aggregation of loan_portfolio</t>
  </si>
  <si>
    <t>loan_portfolio &lt;-&gt; macro_stress_scenarios</t>
  </si>
  <si>
    <t>Sector-level aggregation match: total EAD by sector in loan_portfolio sums to $164.93B, identical to sum of total_ead across macro_stress_scenarios (baseline) sector rows</t>
  </si>
  <si>
    <t>Confirmed - macro_stress_scenarios built from loan_portfolio sector totals</t>
  </si>
  <si>
    <t>loan_portfolio &lt;-&gt; credit_ratings</t>
  </si>
  <si>
    <t>No shared key (loan_id vs issuer_id); loan_portfolio=50,000 loan records, credit_ratings=2,000 distinct issuers. Both share the same 10 sector categories</t>
  </si>
  <si>
    <t>Sector-level join only. Cannot map an individual loan to a specific issuer rating transition.</t>
  </si>
  <si>
    <t>loan_portfolio &lt;-&gt; portfolio_metrics</t>
  </si>
  <si>
    <t>Both cover 2015-2024 and same 10 sectors, but portfolio_metrics is a monthly ACTIVE-book snapshot (peaks at 24,933 active loans, $81.5B EAD) vs loan_portfolio static full extract (50,000 loans, $164.9B EAD, incl. matured/defaulted)</t>
  </si>
  <si>
    <t>No exact numeric reconciliation possible; usable for directional trend comparison only (e.g., sector_hhi 0.1245-0.1312 in portfolio_metrics vs 0.1245 computed independently from loan_portfolio - consistent)</t>
  </si>
  <si>
    <t>credit_ratings &lt;-&gt; macro_stress_scenarios / portfolio_metrics</t>
  </si>
  <si>
    <t>Shared: sector categories, and year 2020 stands out in credit_ratings (default rate 4.3% vs ~2% average) coinciding with portfolio_metrics unemployment spike to 12.2% and new_defaults spike to 1,063/month in Apr-Jun 2020</t>
  </si>
  <si>
    <t>Consistent narrative: all 3 datasets independently show a 2020 (COVID-like) stress event</t>
  </si>
  <si>
    <t>Portfolio Risk Concentration</t>
  </si>
  <si>
    <t>Sector Concentration (EAD, Default Rate, EL Rate)</t>
  </si>
  <si>
    <t>Total EAD</t>
  </si>
  <si>
    <t>EAD Share %</t>
  </si>
  <si>
    <t>EL Rate</t>
  </si>
  <si>
    <t>Rating Concentration (EAD, Default Rate)</t>
  </si>
  <si>
    <t>Recommended Dashboard KPIs &amp; Visualizations</t>
  </si>
  <si>
    <t>Core KPIs for Dashboard Header</t>
  </si>
  <si>
    <t>KPI</t>
  </si>
  <si>
    <t>Definition / Business Value</t>
  </si>
  <si>
    <t>Primary Source File(s)</t>
  </si>
  <si>
    <t>Portfolio EAD ($)</t>
  </si>
  <si>
    <t>Total exposure at default across active loans</t>
  </si>
  <si>
    <t>loan_portfolio / portfolio_metrics</t>
  </si>
  <si>
    <t>Expected Loss (EL) &amp; EL Rate (%)</t>
  </si>
  <si>
    <t>Total expected loss and EL/EAD ratio - core RWA/provisioning input</t>
  </si>
  <si>
    <t>loan_portfolio, portfolio_metrics</t>
  </si>
  <si>
    <t>Portfolio Default Rate (%)</t>
  </si>
  <si>
    <t>Share of loans that have defaulted</t>
  </si>
  <si>
    <t>Average PD / LGD</t>
  </si>
  <si>
    <t>Weighted average probability of default and loss given default</t>
  </si>
  <si>
    <t>Sector HHI (Concentration Index)</t>
  </si>
  <si>
    <t>Herfindahl-Hirschman Index on sector EAD - concentration risk</t>
  </si>
  <si>
    <t>% Below Investment Grade (BB &amp; below)</t>
  </si>
  <si>
    <t>Share of EAD/loans rated speculative grade</t>
  </si>
  <si>
    <t>VaR(99%) / CVaR(99.5%)</t>
  </si>
  <si>
    <t>Tail-risk exposure measures</t>
  </si>
  <si>
    <t>Vintage Cumulative Default Rate</t>
  </si>
  <si>
    <t>Cohort default performance at same seasoning point</t>
  </si>
  <si>
    <t>Rating Migration (Upgrade/Downgrade Rate)</t>
  </si>
  <si>
    <t>Credit quality drift year over year</t>
  </si>
  <si>
    <t>Stressed EL Increase % (by scenario)</t>
  </si>
  <si>
    <t>Sensitivity of EL to macro shocks</t>
  </si>
  <si>
    <t>Recommended Visualizations</t>
  </si>
  <si>
    <t>#</t>
  </si>
  <si>
    <t>Chart Type</t>
  </si>
  <si>
    <t>X-Axis</t>
  </si>
  <si>
    <t>Y-Axis / Series</t>
  </si>
  <si>
    <t>Business Question Answered</t>
  </si>
  <si>
    <t>1</t>
  </si>
  <si>
    <t>KPI Cards</t>
  </si>
  <si>
    <t>n/a</t>
  </si>
  <si>
    <t>Total EAD, EL Rate, Default Rate, Avg PD at a glance</t>
  </si>
  <si>
    <t>2</t>
  </si>
  <si>
    <t>Line chart</t>
  </si>
  <si>
    <t>Date (monthly)</t>
  </si>
  <si>
    <t>EL Rate, Avg PD</t>
  </si>
  <si>
    <t>How has portfolio risk trended over 10 years, and where are the stress peaks?</t>
  </si>
  <si>
    <t>3</t>
  </si>
  <si>
    <t>Line/Area chart</t>
  </si>
  <si>
    <t>Unemployment %, New Defaults</t>
  </si>
  <si>
    <t>Does new-default volume track macro unemployment cycles (e.g. 2020)?</t>
  </si>
  <si>
    <t>4</t>
  </si>
  <si>
    <t>Bar chart</t>
  </si>
  <si>
    <t>Default Rate / EL Rate</t>
  </si>
  <si>
    <t>Which sectors carry disproportionate credit risk relative to size?</t>
  </si>
  <si>
    <t>5</t>
  </si>
  <si>
    <t>Pie / Donut chart</t>
  </si>
  <si>
    <t>How concentrated is the book by sector (HHI)?</t>
  </si>
  <si>
    <t>6</t>
  </si>
  <si>
    <t>Initial Rating (AAA to CCC)</t>
  </si>
  <si>
    <t>Does realized default rate rank-order with assigned credit rating?</t>
  </si>
  <si>
    <t>7</t>
  </si>
  <si>
    <t>Stacked bar / Heatmap</t>
  </si>
  <si>
    <t>From Rating</t>
  </si>
  <si>
    <t>To Rating (transition %)</t>
  </si>
  <si>
    <t>What is the rating migration / transition matrix; how much downgrade risk exists?</t>
  </si>
  <si>
    <t>8</t>
  </si>
  <si>
    <t>Multi-line chart</t>
  </si>
  <si>
    <t>Months on Books</t>
  </si>
  <si>
    <t>Cumulative Default Rate (by vintage)</t>
  </si>
  <si>
    <t>Which origination cohorts (vintages) are underperforming at the same seasoning point?</t>
  </si>
  <si>
    <t>9</t>
  </si>
  <si>
    <t>Grouped bar chart</t>
  </si>
  <si>
    <t>EL Increase % (Adverse / Severe / COVID-like)</t>
  </si>
  <si>
    <t>How much would expected loss rise under each macro stress scenario, by sector?</t>
  </si>
  <si>
    <t>10</t>
  </si>
  <si>
    <t>Scatter plot</t>
  </si>
  <si>
    <t>Credit Score</t>
  </si>
  <si>
    <t>PD / Default Flag</t>
  </si>
  <si>
    <t>How strongly does credit score at origination predict eventual default?</t>
  </si>
  <si>
    <t>11</t>
  </si>
  <si>
    <t>Histogram</t>
  </si>
  <si>
    <t>Credit Score / PD / LGD</t>
  </si>
  <si>
    <t>Frequency</t>
  </si>
  <si>
    <t>What does the risk-factor distribution look like, and where are the outliers?</t>
  </si>
  <si>
    <t>12</t>
  </si>
  <si>
    <t>Does longer loan tenor correlate with higher default risk?</t>
  </si>
  <si>
    <t>13</t>
  </si>
  <si>
    <t>Treemap</t>
  </si>
  <si>
    <t>Sector &gt; Rating</t>
  </si>
  <si>
    <t>EAD ($)</t>
  </si>
  <si>
    <t>Where is exposure concentrated across the sector x rating grid?</t>
  </si>
  <si>
    <t>14</t>
  </si>
  <si>
    <t>Waterfall chart</t>
  </si>
  <si>
    <t>Scenario</t>
  </si>
  <si>
    <t>EL ($) baseline -&gt; stressed</t>
  </si>
  <si>
    <t>How does total portfolio EL build up from baseline to worst-case stress?</t>
  </si>
  <si>
    <t>Key Findings &amp; Recommendations</t>
  </si>
  <si>
    <t>Insight</t>
  </si>
  <si>
    <t>Recommendation</t>
  </si>
  <si>
    <t>Below-investment-grade loans (BB, B, CCC) make up 45.9% of loan count and 46.3% of EAD, with CCC-rated loans defaulting at 50.9% vs 5.2% for AAA.</t>
  </si>
  <si>
    <t>Nearly half the book sits in speculative grade, and default risk rises sharply and monotonically as rating falls - the rating scale is well-calibrated to observed outcomes.</t>
  </si>
  <si>
    <t>Set/monitor concentration limits on BB-and-below exposure; consider tighter origination criteria or higher pricing/capital allocation for CCC-rated loans.</t>
  </si>
  <si>
    <t>2020 shows a clear, synchronized stress signature across all 3 relevant datasets: credit_ratings default rate jumps to 4.3% (vs ~2% average), portfolio_metrics unemployment peaks at 12.2% with new_defaults hitting 1,063/month (Apr-Jun 2020), and vintage cohorts originated 2018-2019 show a visible dip in their cumulative default trajectory during this period.</t>
  </si>
  <si>
    <t>The portfolio carries genuine macro sensitivity to recession-like shocks (consistent with a COVID-19-type event), and this sensitivity is captured consistently across independent data sources.</t>
  </si>
  <si>
    <t>Prioritize the "covid_like" and "severe" macro stress scenarios in capital planning; build early-warning triggers on unemployment/GDP growth thresholds.</t>
  </si>
  <si>
    <t>Financials (18.3%) and Real Estate (15.3%) are the two largest sector exposures by EAD; portfolio sector HHI is ~0.1245, consistent between an independent loan_portfolio calculation and the reported portfolio_metrics.sector_hhi series.</t>
  </si>
  <si>
    <t>The book is moderately diversified (HHI well below the 0.25 "highly concentrated" threshold) but has meaningful single-sector concentration in Financials and Real Estate.</t>
  </si>
  <si>
    <t>Track sector HHI as a standing KPI; set a sector exposure ceiling (e.g., no single sector above ~20% of EAD) to prevent concentration drift.</t>
  </si>
  <si>
    <t>Credit score is a strong univariate default predictor: default rate falls from 47.9% in the 500-580 band to 5.9% in the 780-850 band, and correlates -0.22 with the default flag portfolio-wide.</t>
  </si>
  <si>
    <t>Origination credit score remains one of the most powerful, low-cost risk-screening signals available in this dataset.</t>
  </si>
  <si>
    <t>Continue to weight credit score heavily in underwriting/scorecards; investigate the small (146-loan) 500-580 segment for tightened approval or enhanced monitoring.</t>
  </si>
  <si>
    <t>Default rate rises steadily with loan tenor: 5.9% for 0-24 month loans vs 22.4% for 96-120 month loans.</t>
  </si>
  <si>
    <t>Longer-dated loans carry substantially more cumulative default exposure, likely reflecting more time-at-risk rather than worse initial quality (avg_pd_at_origination does not vary much by vintage).</t>
  </si>
  <si>
    <t>Ensure loan pricing and loss provisioning scale with tenor; consider tenor caps for weaker-rated borrowers.</t>
  </si>
  <si>
    <t>Vintage analysis shows the 2015-2019 cohorts have progressively worsening terminal (60-month) cumulative default rates (7.3% to 22.4%), while cohorts originated 2020Q2 onward show markedly improved and more stable performance (6.0%-10.6%).</t>
  </si>
  <si>
    <t>Underwriting/portfolio quality appears to have improved structurally after the 2020 stress period, OR later vintages simply have not yet fully seasoned enough to reveal all issues in this dataset window - both are plausible and should be investigated with more origination-standard context.</t>
  </si>
  <si>
    <t>Validate whether this reflects a genuine underwriting improvement or a seasoning/censoring effect; do not assume newer vintages are safe without further tenure of observation.</t>
  </si>
  <si>
    <t>macro_stress_scenarios shows expected loss would increase most sharply under "covid_like" stress (+158% portfolio-wide, ranging 129%-193% by sector) and "severe" stress (+97%, ranging 78%-121%), with Financials and Telecom the most macro-sensitive sectors.</t>
  </si>
  <si>
    <t>A COVID-like shock nearly triples portfolio EL; capital and provisioning buffers sized for "baseline" or "mild" scenarios would likely be insufficient in a severe downturn.</t>
  </si>
  <si>
    <t>Use the covid_like/severe scenario EL figures (not baseline) as the basis for stress-tested capital adequacy and loan-loss reserve planning.</t>
  </si>
  <si>
    <t>Loan-level datasets (loan_portfolio) and issuer-level datasets (credit_ratings) share no common key (loan_id vs issuer_id) and cannot be joined at the record level - only via the shared "sector" dimension.</t>
  </si>
  <si>
    <t>Any loan-to-issuer-rating-transition analysis in this project is necessarily sector-aggregated, not entity-specific; treat issuer-level findings as directional context for the loan book, not as ground truth for individual loans.</t>
  </si>
  <si>
    <t>If entity-level analysis is required, source a loan-to-issuer mapping table; otherwise clearly label sector-level cross-dataset insights as such in any dashboard.</t>
  </si>
  <si>
    <t>portfolio_metrics.total_ead (peaking at $81.5B active, ending at $64.3B) is structurally smaller than loan_portfolio total EAD ($164.9B for the full 50,000-loan extract, including matured and defaulted loans).</t>
  </si>
  <si>
    <t>portfolio_metrics is a rolling "active-book-only" snapshot series, while loan_portfolio is the full historical extract - the two are complementary time-scoped views of the same underlying book, not conflicting numbers.</t>
  </si>
  <si>
    <t>When building a dashboard, clearly label whether an EAD figure represents the full historical extract or the active book at a point in time, to avoid confusing dashboard consumers.</t>
  </si>
  <si>
    <t>maturity_date is inconsistent with origination_date + maturity_months for 38.7% of loans (19,350), and in every one of these cases maturity_date is fixed at 31-12-2024.</t>
  </si>
  <si>
    <t>This is a data-generation/extract artifact: maturity_date appears to be capped at the dataset extract as-of date rather than reflecting the true contractual maturity for long-tenor loans still open past that date.</t>
  </si>
  <si>
    <t>For any tenor-based analysis, use maturity_months (the contractual field) rather than maturity_date; flag maturity_date as an as-of-capped field in any downstream documentation.</t>
  </si>
  <si>
    <t xml:space="preserve"> Tab 12: Key Findings &amp; Recommendations</t>
  </si>
  <si>
    <r>
      <rPr>
        <b/>
        <sz val="10"/>
        <rFont val="Arial"/>
        <family val="2"/>
      </rPr>
      <t xml:space="preserve"> Tab 2: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Dataset Overview</t>
    </r>
    <r>
      <rPr>
        <sz val="10"/>
        <rFont val="Arial"/>
        <family val="2"/>
      </rPr>
      <t xml:space="preserve"> - structure &amp; purpose of each file</t>
    </r>
  </si>
  <si>
    <r>
      <t xml:space="preserve"> </t>
    </r>
    <r>
      <rPr>
        <b/>
        <sz val="10"/>
        <rFont val="Arial"/>
        <family val="2"/>
      </rPr>
      <t>Tab 3: Data Quality</t>
    </r>
    <r>
      <rPr>
        <sz val="10"/>
        <rFont val="Arial"/>
        <family val="2"/>
      </rPr>
      <t xml:space="preserve"> - missing values, duplicates, inconsistencies, outliers</t>
    </r>
  </si>
  <si>
    <r>
      <t xml:space="preserve"> </t>
    </r>
    <r>
      <rPr>
        <b/>
        <sz val="10"/>
        <rFont val="Arial"/>
        <family val="2"/>
      </rPr>
      <t>Tab 4: Loan Portfolio EDA</t>
    </r>
    <r>
      <rPr>
        <sz val="10"/>
        <rFont val="Arial"/>
        <family val="2"/>
      </rPr>
      <t xml:space="preserve"> - univariate &amp; bivariate analysis, correlation matrix</t>
    </r>
  </si>
  <si>
    <r>
      <rPr>
        <b/>
        <sz val="10"/>
        <rFont val="Arial"/>
        <family val="2"/>
      </rPr>
      <t xml:space="preserve"> Tab 5: Credit Ratings</t>
    </r>
    <r>
      <rPr>
        <sz val="10"/>
        <rFont val="Arial"/>
        <family val="2"/>
      </rPr>
      <t xml:space="preserve"> - rating transition matrix, default/upgrade/downgrade trends</t>
    </r>
  </si>
  <si>
    <r>
      <t xml:space="preserve"> </t>
    </r>
    <r>
      <rPr>
        <b/>
        <sz val="10"/>
        <rFont val="Arial"/>
        <family val="2"/>
      </rPr>
      <t>Tab 6: Vintage Analysis</t>
    </r>
    <r>
      <rPr>
        <sz val="10"/>
        <rFont val="Arial"/>
        <family val="2"/>
      </rPr>
      <t xml:space="preserve"> - cohort default curves</t>
    </r>
  </si>
  <si>
    <r>
      <rPr>
        <b/>
        <sz val="10"/>
        <rFont val="Arial"/>
        <family val="2"/>
      </rPr>
      <t xml:space="preserve"> Tab 7: Macro Stress</t>
    </r>
    <r>
      <rPr>
        <sz val="10"/>
        <rFont val="Arial"/>
        <family val="2"/>
      </rPr>
      <t xml:space="preserve"> - scenario impact on Expected Loss by sector</t>
    </r>
  </si>
  <si>
    <r>
      <rPr>
        <b/>
        <sz val="10"/>
        <rFont val="Arial"/>
        <family val="2"/>
      </rPr>
      <t xml:space="preserve"> Tab 8: Portfolio Metrics</t>
    </r>
    <r>
      <rPr>
        <sz val="10"/>
        <rFont val="Arial"/>
        <family val="2"/>
      </rPr>
      <t xml:space="preserve"> - monthly time series &amp; macro correlations</t>
    </r>
  </si>
  <si>
    <r>
      <rPr>
        <b/>
        <sz val="10"/>
        <rFont val="Arial"/>
        <family val="2"/>
      </rPr>
      <t xml:space="preserve"> Tab 9: Cross-Dataset Analysis</t>
    </r>
    <r>
      <rPr>
        <sz val="10"/>
        <rFont val="Arial"/>
        <family val="2"/>
      </rPr>
      <t xml:space="preserve"> - join feasibility and portfolio-level linkage</t>
    </r>
  </si>
  <si>
    <r>
      <rPr>
        <b/>
        <sz val="10"/>
        <rFont val="Arial"/>
        <family val="2"/>
      </rPr>
      <t xml:space="preserve"> Tab 10: Risk Concentration</t>
    </r>
    <r>
      <rPr>
        <sz val="10"/>
        <rFont val="Arial"/>
        <family val="2"/>
      </rPr>
      <t xml:space="preserve"> - sector/rating EAD concentration</t>
    </r>
  </si>
  <si>
    <r>
      <t xml:space="preserve"> </t>
    </r>
    <r>
      <rPr>
        <b/>
        <sz val="10"/>
        <rFont val="Arial"/>
        <family val="2"/>
      </rPr>
      <t>Tab 11: KPI &amp; Visualization Plan</t>
    </r>
    <r>
      <rPr>
        <sz val="10"/>
        <rFont val="Arial"/>
        <family val="2"/>
      </rPr>
      <t xml:space="preserve"> - recommended dashboard charts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</si>
</sst>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6F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7C6E3"/>
      </left>
      <right style="thin">
        <color rgb="FFB7C6E3"/>
      </right>
      <top style="thin">
        <color rgb="FFB7C6E3"/>
      </top>
      <bottom style="thin">
        <color rgb="FFB7C6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/>
    <xf numFmtId="10" fontId="4" fillId="0" borderId="1" xfId="0" applyNumberFormat="1" applyFont="1" applyBorder="1"/>
    <xf numFmtId="10" fontId="4" fillId="4" borderId="1" xfId="0" applyNumberFormat="1" applyFont="1" applyFill="1" applyBorder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0" borderId="2" xfId="0" applyFont="1" applyBorder="1"/>
    <xf numFmtId="0" fontId="4" fillId="0" borderId="2" xfId="0" applyFont="1" applyBorder="1"/>
    <xf numFmtId="0" fontId="0" fillId="0" borderId="2" xfId="0" applyBorder="1"/>
    <xf numFmtId="3" fontId="4" fillId="0" borderId="2" xfId="0" applyNumberFormat="1" applyFont="1" applyBorder="1"/>
    <xf numFmtId="10" fontId="4" fillId="0" borderId="2" xfId="0" applyNumberFormat="1" applyFont="1" applyBorder="1"/>
    <xf numFmtId="0" fontId="2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7" fillId="0" borderId="7" xfId="0" applyFont="1" applyBorder="1"/>
    <xf numFmtId="0" fontId="8" fillId="0" borderId="9" xfId="0" applyFont="1" applyBorder="1"/>
    <xf numFmtId="0" fontId="9" fillId="0" borderId="0" xfId="0" applyFont="1" applyBorder="1"/>
    <xf numFmtId="0" fontId="9" fillId="0" borderId="8" xfId="0" applyFont="1" applyBorder="1"/>
    <xf numFmtId="0" fontId="7" fillId="0" borderId="0" xfId="0" applyFont="1" applyBorder="1"/>
    <xf numFmtId="0" fontId="7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1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4" fillId="4" borderId="1" xfId="0" applyNumberFormat="1" applyFont="1" applyFill="1" applyBorder="1"/>
    <xf numFmtId="0" fontId="4" fillId="0" borderId="1" xfId="0" applyNumberFormat="1" applyFont="1" applyBorder="1"/>
    <xf numFmtId="0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Default Rate by Initial Rating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Loan Portfolio EDA'!$B$34</c:f>
              <c:strCache>
                <c:ptCount val="1"/>
                <c:pt idx="0">
                  <c:v>Default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Loan Portfolio EDA'!$A$35:$A$41</c:f>
              <c:strCache>
                <c:ptCount val="7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BBB</c:v>
                </c:pt>
                <c:pt idx="4">
                  <c:v>BB</c:v>
                </c:pt>
                <c:pt idx="5">
                  <c:v>B</c:v>
                </c:pt>
                <c:pt idx="6">
                  <c:v>CCC</c:v>
                </c:pt>
              </c:strCache>
            </c:strRef>
          </c:cat>
          <c:val>
            <c:numRef>
              <c:f>'4. Loan Portfolio EDA'!$B$35:$B$41</c:f>
              <c:numCache>
                <c:formatCode>0.00%</c:formatCode>
                <c:ptCount val="7"/>
                <c:pt idx="0">
                  <c:v>5.2321778940483968E-2</c:v>
                </c:pt>
                <c:pt idx="1">
                  <c:v>6.3894523326572014E-2</c:v>
                </c:pt>
                <c:pt idx="2">
                  <c:v>6.3928146876238282E-2</c:v>
                </c:pt>
                <c:pt idx="3">
                  <c:v>7.0423541175630308E-2</c:v>
                </c:pt>
                <c:pt idx="4">
                  <c:v>0.1117420773035354</c:v>
                </c:pt>
                <c:pt idx="5">
                  <c:v>0.21828284164572029</c:v>
                </c:pt>
                <c:pt idx="6">
                  <c:v>0.50870924519874949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C-49E6-B60F-843D56916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Default Rate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Default Rate by Sector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Loan Portfolio EDA'!$B$43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Loan Portfolio EDA'!$A$44:$A$53</c:f>
              <c:strCache>
                <c:ptCount val="10"/>
                <c:pt idx="0">
                  <c:v>Default Rate by Sector</c:v>
                </c:pt>
                <c:pt idx="1">
                  <c:v>Sector</c:v>
                </c:pt>
                <c:pt idx="2">
                  <c:v>Financials</c:v>
                </c:pt>
                <c:pt idx="3">
                  <c:v>Energy</c:v>
                </c:pt>
                <c:pt idx="4">
                  <c:v>Industrials</c:v>
                </c:pt>
                <c:pt idx="5">
                  <c:v>Retail</c:v>
                </c:pt>
                <c:pt idx="6">
                  <c:v>Real_Estate</c:v>
                </c:pt>
                <c:pt idx="7">
                  <c:v>Consumer</c:v>
                </c:pt>
                <c:pt idx="8">
                  <c:v>Technology</c:v>
                </c:pt>
                <c:pt idx="9">
                  <c:v>Telecom</c:v>
                </c:pt>
              </c:strCache>
            </c:strRef>
          </c:cat>
          <c:val>
            <c:numRef>
              <c:f>'4. Loan Portfolio EDA'!$B$44:$B$53</c:f>
              <c:numCache>
                <c:formatCode>General</c:formatCode>
                <c:ptCount val="10"/>
                <c:pt idx="1">
                  <c:v>0</c:v>
                </c:pt>
                <c:pt idx="2" formatCode="0.00%">
                  <c:v>0.1475214015528569</c:v>
                </c:pt>
                <c:pt idx="3" formatCode="0.00%">
                  <c:v>0.1445830085736555</c:v>
                </c:pt>
                <c:pt idx="4" formatCode="0.00%">
                  <c:v>0.14405426975259381</c:v>
                </c:pt>
                <c:pt idx="5" formatCode="0.00%">
                  <c:v>0.14057766107857</c:v>
                </c:pt>
                <c:pt idx="6" formatCode="0.00%">
                  <c:v>0.13944878650761</c:v>
                </c:pt>
                <c:pt idx="7" formatCode="0.00%">
                  <c:v>0.13702161411858019</c:v>
                </c:pt>
                <c:pt idx="8" formatCode="0.00%">
                  <c:v>0.13631780600927609</c:v>
                </c:pt>
                <c:pt idx="9" formatCode="0.00%">
                  <c:v>0.13492219814851289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0-4608-B7AA-722D5F74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Default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Default Rate by Credit Score Band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'4. Loan Portfolio EDA'!$B$66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'4. Loan Portfolio EDA'!$A$67:$A$73</c:f>
              <c:strCache>
                <c:ptCount val="7"/>
                <c:pt idx="0">
                  <c:v>Default Rate by Credit Score Band</c:v>
                </c:pt>
                <c:pt idx="1">
                  <c:v>Credit Score Band</c:v>
                </c:pt>
                <c:pt idx="2">
                  <c:v>500-580</c:v>
                </c:pt>
                <c:pt idx="3">
                  <c:v>580-620</c:v>
                </c:pt>
                <c:pt idx="4">
                  <c:v>620-660</c:v>
                </c:pt>
                <c:pt idx="5">
                  <c:v>660-700</c:v>
                </c:pt>
                <c:pt idx="6">
                  <c:v>700-740</c:v>
                </c:pt>
              </c:strCache>
            </c:strRef>
          </c:cat>
          <c:val>
            <c:numRef>
              <c:f>'4. Loan Portfolio EDA'!$B$67:$B$73</c:f>
              <c:numCache>
                <c:formatCode>General</c:formatCode>
                <c:ptCount val="7"/>
                <c:pt idx="1">
                  <c:v>0</c:v>
                </c:pt>
                <c:pt idx="2" formatCode="0.00%">
                  <c:v>0.47945205479452052</c:v>
                </c:pt>
                <c:pt idx="3" formatCode="0.00%">
                  <c:v>0.38217967599410901</c:v>
                </c:pt>
                <c:pt idx="4" formatCode="0.00%">
                  <c:v>0.28564022809745981</c:v>
                </c:pt>
                <c:pt idx="5" formatCode="0.00%">
                  <c:v>0.16803980748837591</c:v>
                </c:pt>
                <c:pt idx="6" formatCode="0.00%">
                  <c:v>0.1025915041410633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93-4678-BCA7-93A856DD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Default &amp; Downgrade Rate by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'5. Credit Ratings'!$C$24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'5. Credit Ratings'!$A$25:$A$34</c:f>
              <c:strCache>
                <c:ptCount val="10"/>
                <c:pt idx="0">
                  <c:v>Upgrade / Downgrade / Default Rate by Year</c:v>
                </c:pt>
                <c:pt idx="1">
                  <c:v>year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'5. Credit Ratings'!$C$25:$C$34</c:f>
              <c:numCache>
                <c:formatCode>General</c:formatCode>
                <c:ptCount val="10"/>
                <c:pt idx="1">
                  <c:v>0</c:v>
                </c:pt>
                <c:pt idx="2" formatCode="0.00%">
                  <c:v>6.2E-2</c:v>
                </c:pt>
                <c:pt idx="3" formatCode="0.00%">
                  <c:v>7.0499999999999993E-2</c:v>
                </c:pt>
                <c:pt idx="4" formatCode="0.00%">
                  <c:v>6.6799999999999998E-2</c:v>
                </c:pt>
                <c:pt idx="5" formatCode="0.00%">
                  <c:v>6.5699999999999995E-2</c:v>
                </c:pt>
                <c:pt idx="6" formatCode="0.00%">
                  <c:v>6.6299999999999998E-2</c:v>
                </c:pt>
                <c:pt idx="7" formatCode="0.00%">
                  <c:v>9.7299999999999998E-2</c:v>
                </c:pt>
                <c:pt idx="8" formatCode="0.00%">
                  <c:v>6.6600000000000006E-2</c:v>
                </c:pt>
                <c:pt idx="9" formatCode="0.00%">
                  <c:v>7.1300000000000002E-2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60-4D4F-9F77-DF732BA02B45}"/>
            </c:ext>
          </c:extLst>
        </c:ser>
        <c:ser>
          <c:idx val="1"/>
          <c:order val="1"/>
          <c:tx>
            <c:strRef>
              <c:f>'5. Credit Ratings'!$D$24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'5. Credit Ratings'!$A$25:$A$34</c:f>
              <c:strCache>
                <c:ptCount val="10"/>
                <c:pt idx="0">
                  <c:v>Upgrade / Downgrade / Default Rate by Year</c:v>
                </c:pt>
                <c:pt idx="1">
                  <c:v>year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strCache>
            </c:strRef>
          </c:cat>
          <c:val>
            <c:numRef>
              <c:f>'5. Credit Ratings'!$D$25:$D$34</c:f>
              <c:numCache>
                <c:formatCode>General</c:formatCode>
                <c:ptCount val="10"/>
                <c:pt idx="1">
                  <c:v>0</c:v>
                </c:pt>
                <c:pt idx="2" formatCode="0.00%">
                  <c:v>2.9000000000000001E-2</c:v>
                </c:pt>
                <c:pt idx="3" formatCode="0.00%">
                  <c:v>2.8799999999999999E-2</c:v>
                </c:pt>
                <c:pt idx="4" formatCode="0.00%">
                  <c:v>2.3300000000000001E-2</c:v>
                </c:pt>
                <c:pt idx="5" formatCode="0.00%">
                  <c:v>1.6799999999999999E-2</c:v>
                </c:pt>
                <c:pt idx="6" formatCode="0.00%">
                  <c:v>1.2699999999999999E-2</c:v>
                </c:pt>
                <c:pt idx="7" formatCode="0.00%">
                  <c:v>4.3099999999999999E-2</c:v>
                </c:pt>
                <c:pt idx="8" formatCode="0.00%">
                  <c:v>1.5800000000000002E-2</c:v>
                </c:pt>
                <c:pt idx="9" formatCode="0.00%">
                  <c:v>1.84E-2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60-4D4F-9F77-DF732BA02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Terminal Cumulative Default Rate by Vintage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'6. Vintage Analysis'!$B$4</c:f>
              <c:strCache>
                <c:ptCount val="1"/>
                <c:pt idx="0">
                  <c:v>cumulative_default_rate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Analysis'!$A$5:$A$40</c:f>
              <c:strCache>
                <c:ptCount val="36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</c:strCache>
            </c:strRef>
          </c:cat>
          <c:val>
            <c:numRef>
              <c:f>'6. Vintage Analysis'!$B$5:$B$40</c:f>
              <c:numCache>
                <c:formatCode>0.00%</c:formatCode>
                <c:ptCount val="36"/>
                <c:pt idx="0">
                  <c:v>7.3497999999999994E-2</c:v>
                </c:pt>
                <c:pt idx="1">
                  <c:v>0.10385999999999999</c:v>
                </c:pt>
                <c:pt idx="2">
                  <c:v>0.129993</c:v>
                </c:pt>
                <c:pt idx="3">
                  <c:v>0.13084799999999999</c:v>
                </c:pt>
                <c:pt idx="4">
                  <c:v>0.13880799999999999</c:v>
                </c:pt>
                <c:pt idx="5">
                  <c:v>0.15363299999999999</c:v>
                </c:pt>
                <c:pt idx="6">
                  <c:v>0.15018899999999999</c:v>
                </c:pt>
                <c:pt idx="7">
                  <c:v>0.148563</c:v>
                </c:pt>
                <c:pt idx="8">
                  <c:v>0.164106</c:v>
                </c:pt>
                <c:pt idx="9">
                  <c:v>0.17238899999999999</c:v>
                </c:pt>
                <c:pt idx="10">
                  <c:v>0.200434</c:v>
                </c:pt>
                <c:pt idx="11">
                  <c:v>0.18254500000000001</c:v>
                </c:pt>
                <c:pt idx="12">
                  <c:v>0.18079899999999999</c:v>
                </c:pt>
                <c:pt idx="13">
                  <c:v>0.20296600000000001</c:v>
                </c:pt>
                <c:pt idx="14">
                  <c:v>0.18670400000000001</c:v>
                </c:pt>
                <c:pt idx="15">
                  <c:v>0.20028899999999999</c:v>
                </c:pt>
                <c:pt idx="16">
                  <c:v>0.18856700000000001</c:v>
                </c:pt>
                <c:pt idx="17">
                  <c:v>0.22100700000000001</c:v>
                </c:pt>
                <c:pt idx="18">
                  <c:v>0.20486099999999999</c:v>
                </c:pt>
                <c:pt idx="19">
                  <c:v>0.22445999999999999</c:v>
                </c:pt>
                <c:pt idx="20">
                  <c:v>0.192166</c:v>
                </c:pt>
                <c:pt idx="21">
                  <c:v>0.106017</c:v>
                </c:pt>
                <c:pt idx="22">
                  <c:v>0.105114</c:v>
                </c:pt>
                <c:pt idx="23">
                  <c:v>8.2621E-2</c:v>
                </c:pt>
                <c:pt idx="24">
                  <c:v>6.8522E-2</c:v>
                </c:pt>
                <c:pt idx="25">
                  <c:v>7.6211000000000001E-2</c:v>
                </c:pt>
                <c:pt idx="26">
                  <c:v>7.4909000000000003E-2</c:v>
                </c:pt>
                <c:pt idx="27">
                  <c:v>7.9479999999999995E-2</c:v>
                </c:pt>
                <c:pt idx="28">
                  <c:v>6.7502000000000006E-2</c:v>
                </c:pt>
                <c:pt idx="29">
                  <c:v>7.7670000000000003E-2</c:v>
                </c:pt>
                <c:pt idx="30">
                  <c:v>7.1480000000000002E-2</c:v>
                </c:pt>
                <c:pt idx="31">
                  <c:v>7.5930999999999998E-2</c:v>
                </c:pt>
                <c:pt idx="32">
                  <c:v>7.7655000000000002E-2</c:v>
                </c:pt>
                <c:pt idx="33">
                  <c:v>7.2597999999999996E-2</c:v>
                </c:pt>
                <c:pt idx="34">
                  <c:v>6.3469999999999999E-2</c:v>
                </c:pt>
                <c:pt idx="35">
                  <c:v>5.9817000000000002E-2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67-4352-868F-DAE589E4C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Cum. Default Rate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Default Rate Curves by Months on Books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'6. Vintage Analysis'!$B$42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Analysis'!$B$43:$B$102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2.1199999999999999E-3</c:v>
                </c:pt>
                <c:pt idx="3" formatCode="0.00%">
                  <c:v>2.8270000000000001E-3</c:v>
                </c:pt>
                <c:pt idx="4" formatCode="0.00%">
                  <c:v>2.8270000000000001E-3</c:v>
                </c:pt>
                <c:pt idx="5" formatCode="0.00%">
                  <c:v>3.5339999999999998E-3</c:v>
                </c:pt>
                <c:pt idx="6" formatCode="0.00%">
                  <c:v>7.0670000000000004E-3</c:v>
                </c:pt>
                <c:pt idx="7" formatCode="0.00%">
                  <c:v>9.1870000000000007E-3</c:v>
                </c:pt>
                <c:pt idx="8" formatCode="0.00%">
                  <c:v>1.1306999999999999E-2</c:v>
                </c:pt>
                <c:pt idx="9" formatCode="0.00%">
                  <c:v>1.3428000000000001E-2</c:v>
                </c:pt>
                <c:pt idx="10" formatCode="0.00%">
                  <c:v>1.4841E-2</c:v>
                </c:pt>
                <c:pt idx="11" formatCode="0.00%">
                  <c:v>1.9081000000000001E-2</c:v>
                </c:pt>
                <c:pt idx="12" formatCode="0.00%">
                  <c:v>2.0494999999999999E-2</c:v>
                </c:pt>
                <c:pt idx="13" formatCode="0.00%">
                  <c:v>2.1908E-2</c:v>
                </c:pt>
                <c:pt idx="14" formatCode="0.00%">
                  <c:v>2.4028000000000001E-2</c:v>
                </c:pt>
                <c:pt idx="15" formatCode="0.00%">
                  <c:v>2.4735E-2</c:v>
                </c:pt>
                <c:pt idx="16" formatCode="0.00%">
                  <c:v>2.6855E-2</c:v>
                </c:pt>
                <c:pt idx="17" formatCode="0.00%">
                  <c:v>2.8268999999999999E-2</c:v>
                </c:pt>
                <c:pt idx="18" formatCode="0.00%">
                  <c:v>2.8975000000000001E-2</c:v>
                </c:pt>
                <c:pt idx="19" formatCode="0.00%">
                  <c:v>3.1801999999999997E-2</c:v>
                </c:pt>
                <c:pt idx="20" formatCode="0.00%">
                  <c:v>3.5335999999999999E-2</c:v>
                </c:pt>
                <c:pt idx="21" formatCode="0.00%">
                  <c:v>3.6748999999999997E-2</c:v>
                </c:pt>
                <c:pt idx="22" formatCode="0.00%">
                  <c:v>3.6748999999999997E-2</c:v>
                </c:pt>
                <c:pt idx="23" formatCode="0.00%">
                  <c:v>3.8163000000000002E-2</c:v>
                </c:pt>
                <c:pt idx="24" formatCode="0.00%">
                  <c:v>4.0282999999999999E-2</c:v>
                </c:pt>
                <c:pt idx="25" formatCode="0.00%">
                  <c:v>4.0988999999999998E-2</c:v>
                </c:pt>
                <c:pt idx="26" formatCode="0.00%">
                  <c:v>4.5229999999999999E-2</c:v>
                </c:pt>
                <c:pt idx="27" formatCode="0.00%">
                  <c:v>4.5229999999999999E-2</c:v>
                </c:pt>
                <c:pt idx="28" formatCode="0.00%">
                  <c:v>4.6642999999999997E-2</c:v>
                </c:pt>
                <c:pt idx="29" formatCode="0.00%">
                  <c:v>4.7350000000000003E-2</c:v>
                </c:pt>
                <c:pt idx="30" formatCode="0.00%">
                  <c:v>4.947E-2</c:v>
                </c:pt>
                <c:pt idx="31" formatCode="0.00%">
                  <c:v>5.0176999999999999E-2</c:v>
                </c:pt>
                <c:pt idx="32" formatCode="0.00%">
                  <c:v>5.0882999999999998E-2</c:v>
                </c:pt>
                <c:pt idx="33" formatCode="0.00%">
                  <c:v>5.1589999999999997E-2</c:v>
                </c:pt>
                <c:pt idx="34" formatCode="0.00%">
                  <c:v>5.2297000000000003E-2</c:v>
                </c:pt>
                <c:pt idx="35" formatCode="0.00%">
                  <c:v>5.5123999999999999E-2</c:v>
                </c:pt>
                <c:pt idx="36" formatCode="0.00%">
                  <c:v>5.7951000000000003E-2</c:v>
                </c:pt>
                <c:pt idx="37" formatCode="0.00%">
                  <c:v>5.7951000000000003E-2</c:v>
                </c:pt>
                <c:pt idx="38" formatCode="0.00%">
                  <c:v>5.8657000000000001E-2</c:v>
                </c:pt>
                <c:pt idx="39" formatCode="0.00%">
                  <c:v>5.9364E-2</c:v>
                </c:pt>
                <c:pt idx="40" formatCode="0.00%">
                  <c:v>6.0776999999999998E-2</c:v>
                </c:pt>
                <c:pt idx="41" formatCode="0.00%">
                  <c:v>6.1483999999999997E-2</c:v>
                </c:pt>
                <c:pt idx="42" formatCode="0.00%">
                  <c:v>6.1483999999999997E-2</c:v>
                </c:pt>
                <c:pt idx="43" formatCode="0.00%">
                  <c:v>6.2897999999999996E-2</c:v>
                </c:pt>
                <c:pt idx="44" formatCode="0.00%">
                  <c:v>6.3603999999999994E-2</c:v>
                </c:pt>
                <c:pt idx="45" formatCode="0.00%">
                  <c:v>6.5724000000000005E-2</c:v>
                </c:pt>
                <c:pt idx="46" formatCode="0.00%">
                  <c:v>6.6431000000000004E-2</c:v>
                </c:pt>
                <c:pt idx="47" formatCode="0.00%">
                  <c:v>6.7138000000000003E-2</c:v>
                </c:pt>
                <c:pt idx="48" formatCode="0.00%">
                  <c:v>6.7138000000000003E-2</c:v>
                </c:pt>
                <c:pt idx="49" formatCode="0.00%">
                  <c:v>6.7845000000000003E-2</c:v>
                </c:pt>
                <c:pt idx="50" formatCode="0.00%">
                  <c:v>6.8551000000000001E-2</c:v>
                </c:pt>
                <c:pt idx="51" formatCode="0.00%">
                  <c:v>6.9258E-2</c:v>
                </c:pt>
                <c:pt idx="52" formatCode="0.00%">
                  <c:v>6.9258E-2</c:v>
                </c:pt>
                <c:pt idx="53" formatCode="0.00%">
                  <c:v>6.9258E-2</c:v>
                </c:pt>
                <c:pt idx="54" formatCode="0.00%">
                  <c:v>6.9964999999999999E-2</c:v>
                </c:pt>
                <c:pt idx="55" formatCode="0.00%">
                  <c:v>7.0670999999999998E-2</c:v>
                </c:pt>
                <c:pt idx="56" formatCode="0.00%">
                  <c:v>7.0670999999999998E-2</c:v>
                </c:pt>
                <c:pt idx="57" formatCode="0.00%">
                  <c:v>7.0670999999999998E-2</c:v>
                </c:pt>
                <c:pt idx="58" formatCode="0.00%">
                  <c:v>7.1377999999999997E-2</c:v>
                </c:pt>
                <c:pt idx="59" formatCode="0.00%">
                  <c:v>7.2084999999999996E-2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17-4B21-87E7-1E55E11F8082}"/>
            </c:ext>
          </c:extLst>
        </c:ser>
        <c:ser>
          <c:idx val="1"/>
          <c:order val="1"/>
          <c:tx>
            <c:strRef>
              <c:f>'6. Vintage Analysis'!$C$42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Analysis'!$C$43:$C$102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7.8100000000000001E-4</c:v>
                </c:pt>
                <c:pt idx="3" formatCode="0.00%">
                  <c:v>2.3419999999999999E-3</c:v>
                </c:pt>
                <c:pt idx="4" formatCode="0.00%">
                  <c:v>4.6839999999999998E-3</c:v>
                </c:pt>
                <c:pt idx="5" formatCode="0.00%">
                  <c:v>5.4640000000000001E-3</c:v>
                </c:pt>
                <c:pt idx="6" formatCode="0.00%">
                  <c:v>1.0148000000000001E-2</c:v>
                </c:pt>
                <c:pt idx="7" formatCode="0.00%">
                  <c:v>1.171E-2</c:v>
                </c:pt>
                <c:pt idx="8" formatCode="0.00%">
                  <c:v>1.4832E-2</c:v>
                </c:pt>
                <c:pt idx="9" formatCode="0.00%">
                  <c:v>1.5613E-2</c:v>
                </c:pt>
                <c:pt idx="10" formatCode="0.00%">
                  <c:v>1.6393000000000001E-2</c:v>
                </c:pt>
                <c:pt idx="11" formatCode="0.00%">
                  <c:v>1.7954999999999999E-2</c:v>
                </c:pt>
                <c:pt idx="12" formatCode="0.00%">
                  <c:v>2.1857999999999999E-2</c:v>
                </c:pt>
                <c:pt idx="13" formatCode="0.00%">
                  <c:v>2.4199999999999999E-2</c:v>
                </c:pt>
                <c:pt idx="14" formatCode="0.00%">
                  <c:v>2.6542E-2</c:v>
                </c:pt>
                <c:pt idx="15" formatCode="0.00%">
                  <c:v>2.9663999999999999E-2</c:v>
                </c:pt>
                <c:pt idx="16" formatCode="0.00%">
                  <c:v>3.2786999999999997E-2</c:v>
                </c:pt>
                <c:pt idx="17" formatCode="0.00%">
                  <c:v>3.3568000000000001E-2</c:v>
                </c:pt>
                <c:pt idx="18" formatCode="0.00%">
                  <c:v>3.4347999999999997E-2</c:v>
                </c:pt>
                <c:pt idx="19" formatCode="0.00%">
                  <c:v>3.5129000000000001E-2</c:v>
                </c:pt>
                <c:pt idx="20" formatCode="0.00%">
                  <c:v>3.5909000000000003E-2</c:v>
                </c:pt>
                <c:pt idx="21" formatCode="0.00%">
                  <c:v>3.8251E-2</c:v>
                </c:pt>
                <c:pt idx="22" formatCode="0.00%">
                  <c:v>3.9031999999999997E-2</c:v>
                </c:pt>
                <c:pt idx="23" formatCode="0.00%">
                  <c:v>5.5425000000000002E-2</c:v>
                </c:pt>
                <c:pt idx="24" formatCode="0.00%">
                  <c:v>8.7431999999999996E-2</c:v>
                </c:pt>
                <c:pt idx="25" formatCode="0.00%">
                  <c:v>0.13427</c:v>
                </c:pt>
                <c:pt idx="26" formatCode="0.00%">
                  <c:v>0.163934</c:v>
                </c:pt>
                <c:pt idx="27" formatCode="0.00%">
                  <c:v>0.17408299999999999</c:v>
                </c:pt>
                <c:pt idx="28" formatCode="0.00%">
                  <c:v>0.176425</c:v>
                </c:pt>
                <c:pt idx="29" formatCode="0.00%">
                  <c:v>0.17798600000000001</c:v>
                </c:pt>
                <c:pt idx="30" formatCode="0.00%">
                  <c:v>0.17876700000000001</c:v>
                </c:pt>
                <c:pt idx="31" formatCode="0.00%">
                  <c:v>0.17876700000000001</c:v>
                </c:pt>
                <c:pt idx="32" formatCode="0.00%">
                  <c:v>0.17954700000000001</c:v>
                </c:pt>
                <c:pt idx="33" formatCode="0.00%">
                  <c:v>0.18110899999999999</c:v>
                </c:pt>
                <c:pt idx="34" formatCode="0.00%">
                  <c:v>0.181889</c:v>
                </c:pt>
                <c:pt idx="35" formatCode="0.00%">
                  <c:v>0.181889</c:v>
                </c:pt>
                <c:pt idx="36" formatCode="0.00%">
                  <c:v>0.18267</c:v>
                </c:pt>
                <c:pt idx="37" formatCode="0.00%">
                  <c:v>0.18501200000000001</c:v>
                </c:pt>
                <c:pt idx="38" formatCode="0.00%">
                  <c:v>0.18735399999999999</c:v>
                </c:pt>
                <c:pt idx="39" formatCode="0.00%">
                  <c:v>0.188915</c:v>
                </c:pt>
                <c:pt idx="40" formatCode="0.00%">
                  <c:v>0.19125700000000001</c:v>
                </c:pt>
                <c:pt idx="41" formatCode="0.00%">
                  <c:v>0.19125700000000001</c:v>
                </c:pt>
                <c:pt idx="42" formatCode="0.00%">
                  <c:v>0.19281799999999999</c:v>
                </c:pt>
                <c:pt idx="43" formatCode="0.00%">
                  <c:v>0.19359899999999999</c:v>
                </c:pt>
                <c:pt idx="44" formatCode="0.00%">
                  <c:v>0.19359899999999999</c:v>
                </c:pt>
                <c:pt idx="45" formatCode="0.00%">
                  <c:v>0.19359899999999999</c:v>
                </c:pt>
                <c:pt idx="46" formatCode="0.00%">
                  <c:v>0.194379</c:v>
                </c:pt>
                <c:pt idx="47" formatCode="0.00%">
                  <c:v>0.195941</c:v>
                </c:pt>
                <c:pt idx="48" formatCode="0.00%">
                  <c:v>0.19828299999999999</c:v>
                </c:pt>
                <c:pt idx="49" formatCode="0.00%">
                  <c:v>0.19906299999999999</c:v>
                </c:pt>
                <c:pt idx="50" formatCode="0.00%">
                  <c:v>0.19984399999999999</c:v>
                </c:pt>
                <c:pt idx="51" formatCode="0.00%">
                  <c:v>0.19984399999999999</c:v>
                </c:pt>
                <c:pt idx="52" formatCode="0.00%">
                  <c:v>0.200625</c:v>
                </c:pt>
                <c:pt idx="53" formatCode="0.00%">
                  <c:v>0.200625</c:v>
                </c:pt>
                <c:pt idx="54" formatCode="0.00%">
                  <c:v>0.201405</c:v>
                </c:pt>
                <c:pt idx="55" formatCode="0.00%">
                  <c:v>0.201405</c:v>
                </c:pt>
                <c:pt idx="56" formatCode="0.00%">
                  <c:v>0.202186</c:v>
                </c:pt>
                <c:pt idx="57" formatCode="0.00%">
                  <c:v>0.20296600000000001</c:v>
                </c:pt>
                <c:pt idx="58" formatCode="0.00%">
                  <c:v>0.20296600000000001</c:v>
                </c:pt>
                <c:pt idx="59" formatCode="0.00%">
                  <c:v>0.20296600000000001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17-4B21-87E7-1E55E11F8082}"/>
            </c:ext>
          </c:extLst>
        </c:ser>
        <c:ser>
          <c:idx val="2"/>
          <c:order val="2"/>
          <c:tx>
            <c:strRef>
              <c:f>'6. Vintage Analysis'!$D$42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Analysis'!$D$43:$D$102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0</c:v>
                </c:pt>
                <c:pt idx="3" formatCode="0.00%">
                  <c:v>7.1900000000000002E-4</c:v>
                </c:pt>
                <c:pt idx="4" formatCode="0.00%">
                  <c:v>2.8779999999999999E-3</c:v>
                </c:pt>
                <c:pt idx="5" formatCode="0.00%">
                  <c:v>1.8704999999999999E-2</c:v>
                </c:pt>
                <c:pt idx="6" formatCode="0.00%">
                  <c:v>6.2590000000000007E-2</c:v>
                </c:pt>
                <c:pt idx="7" formatCode="0.00%">
                  <c:v>0.10935300000000001</c:v>
                </c:pt>
                <c:pt idx="8" formatCode="0.00%">
                  <c:v>0.15323700000000001</c:v>
                </c:pt>
                <c:pt idx="9" formatCode="0.00%">
                  <c:v>0.17266200000000001</c:v>
                </c:pt>
                <c:pt idx="10" formatCode="0.00%">
                  <c:v>0.17266200000000001</c:v>
                </c:pt>
                <c:pt idx="11" formatCode="0.00%">
                  <c:v>0.17482</c:v>
                </c:pt>
                <c:pt idx="12" formatCode="0.00%">
                  <c:v>0.17554</c:v>
                </c:pt>
                <c:pt idx="13" formatCode="0.00%">
                  <c:v>0.176978</c:v>
                </c:pt>
                <c:pt idx="14" formatCode="0.00%">
                  <c:v>0.17769799999999999</c:v>
                </c:pt>
                <c:pt idx="15" formatCode="0.00%">
                  <c:v>0.17985599999999999</c:v>
                </c:pt>
                <c:pt idx="16" formatCode="0.00%">
                  <c:v>0.17985599999999999</c:v>
                </c:pt>
                <c:pt idx="17" formatCode="0.00%">
                  <c:v>0.18273400000000001</c:v>
                </c:pt>
                <c:pt idx="18" formatCode="0.00%">
                  <c:v>0.184892</c:v>
                </c:pt>
                <c:pt idx="19" formatCode="0.00%">
                  <c:v>0.186331</c:v>
                </c:pt>
                <c:pt idx="20" formatCode="0.00%">
                  <c:v>0.18848899999999999</c:v>
                </c:pt>
                <c:pt idx="21" formatCode="0.00%">
                  <c:v>0.19136700000000001</c:v>
                </c:pt>
                <c:pt idx="22" formatCode="0.00%">
                  <c:v>0.19208600000000001</c:v>
                </c:pt>
                <c:pt idx="23" formatCode="0.00%">
                  <c:v>0.193525</c:v>
                </c:pt>
                <c:pt idx="24" formatCode="0.00%">
                  <c:v>0.194964</c:v>
                </c:pt>
                <c:pt idx="25" formatCode="0.00%">
                  <c:v>0.195683</c:v>
                </c:pt>
                <c:pt idx="26" formatCode="0.00%">
                  <c:v>0.19712199999999999</c:v>
                </c:pt>
                <c:pt idx="27" formatCode="0.00%">
                  <c:v>0.19928100000000001</c:v>
                </c:pt>
                <c:pt idx="28" formatCode="0.00%">
                  <c:v>0.20071900000000001</c:v>
                </c:pt>
                <c:pt idx="29" formatCode="0.00%">
                  <c:v>0.20143900000000001</c:v>
                </c:pt>
                <c:pt idx="30" formatCode="0.00%">
                  <c:v>0.20143900000000001</c:v>
                </c:pt>
                <c:pt idx="31" formatCode="0.00%">
                  <c:v>0.202158</c:v>
                </c:pt>
                <c:pt idx="32" formatCode="0.00%">
                  <c:v>0.202878</c:v>
                </c:pt>
                <c:pt idx="33" formatCode="0.00%">
                  <c:v>0.202878</c:v>
                </c:pt>
                <c:pt idx="34" formatCode="0.00%">
                  <c:v>0.203597</c:v>
                </c:pt>
                <c:pt idx="35" formatCode="0.00%">
                  <c:v>0.203597</c:v>
                </c:pt>
                <c:pt idx="36" formatCode="0.00%">
                  <c:v>0.205036</c:v>
                </c:pt>
                <c:pt idx="37" formatCode="0.00%">
                  <c:v>0.20719399999999999</c:v>
                </c:pt>
                <c:pt idx="38" formatCode="0.00%">
                  <c:v>0.20863300000000001</c:v>
                </c:pt>
                <c:pt idx="39" formatCode="0.00%">
                  <c:v>0.20863300000000001</c:v>
                </c:pt>
                <c:pt idx="40" formatCode="0.00%">
                  <c:v>0.20935300000000001</c:v>
                </c:pt>
                <c:pt idx="41" formatCode="0.00%">
                  <c:v>0.21079100000000001</c:v>
                </c:pt>
                <c:pt idx="42" formatCode="0.00%">
                  <c:v>0.211511</c:v>
                </c:pt>
                <c:pt idx="43" formatCode="0.00%">
                  <c:v>0.21295</c:v>
                </c:pt>
                <c:pt idx="44" formatCode="0.00%">
                  <c:v>0.21295</c:v>
                </c:pt>
                <c:pt idx="45" formatCode="0.00%">
                  <c:v>0.21510799999999999</c:v>
                </c:pt>
                <c:pt idx="46" formatCode="0.00%">
                  <c:v>0.21582699999999999</c:v>
                </c:pt>
                <c:pt idx="47" formatCode="0.00%">
                  <c:v>0.21654699999999999</c:v>
                </c:pt>
                <c:pt idx="48" formatCode="0.00%">
                  <c:v>0.21798600000000001</c:v>
                </c:pt>
                <c:pt idx="49" formatCode="0.00%">
                  <c:v>0.21798600000000001</c:v>
                </c:pt>
                <c:pt idx="50" formatCode="0.00%">
                  <c:v>0.21798600000000001</c:v>
                </c:pt>
                <c:pt idx="51" formatCode="0.00%">
                  <c:v>0.21870500000000001</c:v>
                </c:pt>
                <c:pt idx="52" formatCode="0.00%">
                  <c:v>0.21942400000000001</c:v>
                </c:pt>
                <c:pt idx="53" formatCode="0.00%">
                  <c:v>0.21942400000000001</c:v>
                </c:pt>
                <c:pt idx="54" formatCode="0.00%">
                  <c:v>0.21942400000000001</c:v>
                </c:pt>
                <c:pt idx="55" formatCode="0.00%">
                  <c:v>0.221583</c:v>
                </c:pt>
                <c:pt idx="56" formatCode="0.00%">
                  <c:v>0.221583</c:v>
                </c:pt>
                <c:pt idx="57" formatCode="0.00%">
                  <c:v>0.223022</c:v>
                </c:pt>
                <c:pt idx="58" formatCode="0.00%">
                  <c:v>0.223022</c:v>
                </c:pt>
                <c:pt idx="59" formatCode="0.00%">
                  <c:v>0.223741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17-4B21-87E7-1E55E11F8082}"/>
            </c:ext>
          </c:extLst>
        </c:ser>
        <c:ser>
          <c:idx val="3"/>
          <c:order val="3"/>
          <c:tx>
            <c:strRef>
              <c:f>'6. Vintage Analysis'!$E$42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Analysis'!$E$43:$E$102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5.0140000000000002E-3</c:v>
                </c:pt>
                <c:pt idx="3" formatCode="0.00%">
                  <c:v>7.1630000000000001E-3</c:v>
                </c:pt>
                <c:pt idx="4" formatCode="0.00%">
                  <c:v>1.2178E-2</c:v>
                </c:pt>
                <c:pt idx="5" formatCode="0.00%">
                  <c:v>1.4326999999999999E-2</c:v>
                </c:pt>
                <c:pt idx="6" formatCode="0.00%">
                  <c:v>1.6476000000000001E-2</c:v>
                </c:pt>
                <c:pt idx="7" formatCode="0.00%">
                  <c:v>1.7908E-2</c:v>
                </c:pt>
                <c:pt idx="8" formatCode="0.00%">
                  <c:v>1.9341000000000001E-2</c:v>
                </c:pt>
                <c:pt idx="9" formatCode="0.00%">
                  <c:v>2.2922999999999999E-2</c:v>
                </c:pt>
                <c:pt idx="10" formatCode="0.00%">
                  <c:v>2.7220999999999999E-2</c:v>
                </c:pt>
                <c:pt idx="11" formatCode="0.00%">
                  <c:v>2.937E-2</c:v>
                </c:pt>
                <c:pt idx="12" formatCode="0.00%">
                  <c:v>3.0802E-2</c:v>
                </c:pt>
                <c:pt idx="13" formatCode="0.00%">
                  <c:v>3.1518999999999998E-2</c:v>
                </c:pt>
                <c:pt idx="14" formatCode="0.00%">
                  <c:v>3.2951000000000001E-2</c:v>
                </c:pt>
                <c:pt idx="15" formatCode="0.00%">
                  <c:v>3.7248999999999997E-2</c:v>
                </c:pt>
                <c:pt idx="16" formatCode="0.00%">
                  <c:v>3.9398000000000002E-2</c:v>
                </c:pt>
                <c:pt idx="17" formatCode="0.00%">
                  <c:v>4.1547000000000001E-2</c:v>
                </c:pt>
                <c:pt idx="18" formatCode="0.00%">
                  <c:v>4.4413000000000001E-2</c:v>
                </c:pt>
                <c:pt idx="19" formatCode="0.00%">
                  <c:v>4.7278000000000001E-2</c:v>
                </c:pt>
                <c:pt idx="20" formatCode="0.00%">
                  <c:v>4.7994000000000002E-2</c:v>
                </c:pt>
                <c:pt idx="21" formatCode="0.00%">
                  <c:v>4.8710999999999997E-2</c:v>
                </c:pt>
                <c:pt idx="22" formatCode="0.00%">
                  <c:v>5.1575999999999997E-2</c:v>
                </c:pt>
                <c:pt idx="23" formatCode="0.00%">
                  <c:v>5.4441000000000003E-2</c:v>
                </c:pt>
                <c:pt idx="24" formatCode="0.00%">
                  <c:v>5.8739E-2</c:v>
                </c:pt>
                <c:pt idx="25" formatCode="0.00%">
                  <c:v>5.9456000000000002E-2</c:v>
                </c:pt>
                <c:pt idx="26" formatCode="0.00%">
                  <c:v>6.0172000000000003E-2</c:v>
                </c:pt>
                <c:pt idx="27" formatCode="0.00%">
                  <c:v>6.2321000000000001E-2</c:v>
                </c:pt>
                <c:pt idx="28" formatCode="0.00%">
                  <c:v>6.447E-2</c:v>
                </c:pt>
                <c:pt idx="29" formatCode="0.00%">
                  <c:v>6.7335000000000006E-2</c:v>
                </c:pt>
                <c:pt idx="30" formatCode="0.00%">
                  <c:v>6.8052000000000001E-2</c:v>
                </c:pt>
                <c:pt idx="31" formatCode="0.00%">
                  <c:v>7.0201E-2</c:v>
                </c:pt>
                <c:pt idx="32" formatCode="0.00%">
                  <c:v>7.3066000000000006E-2</c:v>
                </c:pt>
                <c:pt idx="33" formatCode="0.00%">
                  <c:v>7.5930999999999998E-2</c:v>
                </c:pt>
                <c:pt idx="34" formatCode="0.00%">
                  <c:v>7.7364000000000002E-2</c:v>
                </c:pt>
                <c:pt idx="35" formatCode="0.00%">
                  <c:v>7.8079999999999997E-2</c:v>
                </c:pt>
                <c:pt idx="36" formatCode="0.00%">
                  <c:v>8.2378000000000007E-2</c:v>
                </c:pt>
                <c:pt idx="37" formatCode="0.00%">
                  <c:v>8.3810999999999997E-2</c:v>
                </c:pt>
                <c:pt idx="38" formatCode="0.00%">
                  <c:v>8.5959999999999995E-2</c:v>
                </c:pt>
                <c:pt idx="39" formatCode="0.00%">
                  <c:v>8.8825000000000001E-2</c:v>
                </c:pt>
                <c:pt idx="40" formatCode="0.00%">
                  <c:v>9.0258000000000005E-2</c:v>
                </c:pt>
                <c:pt idx="41" formatCode="0.00%">
                  <c:v>9.1690999999999995E-2</c:v>
                </c:pt>
                <c:pt idx="42" formatCode="0.00%">
                  <c:v>9.2407000000000003E-2</c:v>
                </c:pt>
                <c:pt idx="43" formatCode="0.00%">
                  <c:v>9.4556000000000001E-2</c:v>
                </c:pt>
                <c:pt idx="44" formatCode="0.00%">
                  <c:v>9.4556000000000001E-2</c:v>
                </c:pt>
                <c:pt idx="45" formatCode="0.00%">
                  <c:v>9.5271999999999996E-2</c:v>
                </c:pt>
                <c:pt idx="46" formatCode="0.00%">
                  <c:v>9.6704999999999999E-2</c:v>
                </c:pt>
                <c:pt idx="47" formatCode="0.00%">
                  <c:v>9.7420999999999994E-2</c:v>
                </c:pt>
                <c:pt idx="48" formatCode="0.00%">
                  <c:v>9.8853999999999997E-2</c:v>
                </c:pt>
                <c:pt idx="49" formatCode="0.00%">
                  <c:v>0.100287</c:v>
                </c:pt>
                <c:pt idx="50" formatCode="0.00%">
                  <c:v>0.100287</c:v>
                </c:pt>
                <c:pt idx="51" formatCode="0.00%">
                  <c:v>0.101719</c:v>
                </c:pt>
                <c:pt idx="52" formatCode="0.00%">
                  <c:v>0.101719</c:v>
                </c:pt>
                <c:pt idx="53" formatCode="0.00%">
                  <c:v>0.10315199999999999</c:v>
                </c:pt>
                <c:pt idx="54" formatCode="0.00%">
                  <c:v>0.103868</c:v>
                </c:pt>
                <c:pt idx="55" formatCode="0.00%">
                  <c:v>0.10530100000000001</c:v>
                </c:pt>
                <c:pt idx="56" formatCode="0.00%">
                  <c:v>0.10530100000000001</c:v>
                </c:pt>
                <c:pt idx="57" formatCode="0.00%">
                  <c:v>0.10530100000000001</c:v>
                </c:pt>
                <c:pt idx="58" formatCode="0.00%">
                  <c:v>0.106017</c:v>
                </c:pt>
                <c:pt idx="59" formatCode="0.00%">
                  <c:v>0.106017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F17-4B21-87E7-1E55E11F8082}"/>
            </c:ext>
          </c:extLst>
        </c:ser>
        <c:ser>
          <c:idx val="4"/>
          <c:order val="4"/>
          <c:tx>
            <c:strRef>
              <c:f>'6. Vintage Analysis'!$F$42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Analysis'!$F$43:$F$102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7.1400000000000001E-4</c:v>
                </c:pt>
                <c:pt idx="3" formatCode="0.00%">
                  <c:v>1.428E-3</c:v>
                </c:pt>
                <c:pt idx="4" formatCode="0.00%">
                  <c:v>2.1410000000000001E-3</c:v>
                </c:pt>
                <c:pt idx="5" formatCode="0.00%">
                  <c:v>4.9959999999999996E-3</c:v>
                </c:pt>
                <c:pt idx="6" formatCode="0.00%">
                  <c:v>7.1380000000000002E-3</c:v>
                </c:pt>
                <c:pt idx="7" formatCode="0.00%">
                  <c:v>9.2790000000000008E-3</c:v>
                </c:pt>
                <c:pt idx="8" formatCode="0.00%">
                  <c:v>1.0707E-2</c:v>
                </c:pt>
                <c:pt idx="9" formatCode="0.00%">
                  <c:v>1.142E-2</c:v>
                </c:pt>
                <c:pt idx="10" formatCode="0.00%">
                  <c:v>1.3561999999999999E-2</c:v>
                </c:pt>
                <c:pt idx="11" formatCode="0.00%">
                  <c:v>1.6417000000000001E-2</c:v>
                </c:pt>
                <c:pt idx="12" formatCode="0.00%">
                  <c:v>1.9272000000000001E-2</c:v>
                </c:pt>
                <c:pt idx="13" formatCode="0.00%">
                  <c:v>1.9986E-2</c:v>
                </c:pt>
                <c:pt idx="14" formatCode="0.00%">
                  <c:v>1.9986E-2</c:v>
                </c:pt>
                <c:pt idx="15" formatCode="0.00%">
                  <c:v>1.9986E-2</c:v>
                </c:pt>
                <c:pt idx="16" formatCode="0.00%">
                  <c:v>2.1413000000000001E-2</c:v>
                </c:pt>
                <c:pt idx="17" formatCode="0.00%">
                  <c:v>2.2841E-2</c:v>
                </c:pt>
                <c:pt idx="18" formatCode="0.00%">
                  <c:v>2.5696E-2</c:v>
                </c:pt>
                <c:pt idx="19" formatCode="0.00%">
                  <c:v>2.5696E-2</c:v>
                </c:pt>
                <c:pt idx="20" formatCode="0.00%">
                  <c:v>2.5696E-2</c:v>
                </c:pt>
                <c:pt idx="21" formatCode="0.00%">
                  <c:v>2.9978999999999999E-2</c:v>
                </c:pt>
                <c:pt idx="22" formatCode="0.00%">
                  <c:v>3.1406000000000003E-2</c:v>
                </c:pt>
                <c:pt idx="23" formatCode="0.00%">
                  <c:v>3.2120000000000003E-2</c:v>
                </c:pt>
                <c:pt idx="24" formatCode="0.00%">
                  <c:v>3.2834000000000002E-2</c:v>
                </c:pt>
                <c:pt idx="25" formatCode="0.00%">
                  <c:v>3.4974999999999999E-2</c:v>
                </c:pt>
                <c:pt idx="26" formatCode="0.00%">
                  <c:v>3.7830000000000003E-2</c:v>
                </c:pt>
                <c:pt idx="27" formatCode="0.00%">
                  <c:v>3.8544000000000002E-2</c:v>
                </c:pt>
                <c:pt idx="28" formatCode="0.00%">
                  <c:v>3.8544000000000002E-2</c:v>
                </c:pt>
                <c:pt idx="29" formatCode="0.00%">
                  <c:v>3.8544000000000002E-2</c:v>
                </c:pt>
                <c:pt idx="30" formatCode="0.00%">
                  <c:v>4.2826999999999997E-2</c:v>
                </c:pt>
                <c:pt idx="31" formatCode="0.00%">
                  <c:v>4.3540000000000002E-2</c:v>
                </c:pt>
                <c:pt idx="32" formatCode="0.00%">
                  <c:v>4.4254000000000002E-2</c:v>
                </c:pt>
                <c:pt idx="33" formatCode="0.00%">
                  <c:v>4.7822999999999997E-2</c:v>
                </c:pt>
                <c:pt idx="34" formatCode="0.00%">
                  <c:v>4.9251000000000003E-2</c:v>
                </c:pt>
                <c:pt idx="35" formatCode="0.00%">
                  <c:v>5.1392E-2</c:v>
                </c:pt>
                <c:pt idx="36" formatCode="0.00%">
                  <c:v>5.1392E-2</c:v>
                </c:pt>
                <c:pt idx="37" formatCode="0.00%">
                  <c:v>5.2106E-2</c:v>
                </c:pt>
                <c:pt idx="38" formatCode="0.00%">
                  <c:v>5.2818999999999998E-2</c:v>
                </c:pt>
                <c:pt idx="39" formatCode="0.00%">
                  <c:v>5.3532999999999997E-2</c:v>
                </c:pt>
                <c:pt idx="40" formatCode="0.00%">
                  <c:v>5.4961000000000003E-2</c:v>
                </c:pt>
                <c:pt idx="41" formatCode="0.00%">
                  <c:v>5.5675000000000002E-2</c:v>
                </c:pt>
                <c:pt idx="42" formatCode="0.00%">
                  <c:v>5.6388000000000001E-2</c:v>
                </c:pt>
                <c:pt idx="43" formatCode="0.00%">
                  <c:v>5.7102E-2</c:v>
                </c:pt>
                <c:pt idx="44" formatCode="0.00%">
                  <c:v>5.7815999999999999E-2</c:v>
                </c:pt>
                <c:pt idx="45" formatCode="0.00%">
                  <c:v>5.7815999999999999E-2</c:v>
                </c:pt>
                <c:pt idx="46" formatCode="0.00%">
                  <c:v>5.8529999999999999E-2</c:v>
                </c:pt>
                <c:pt idx="47" formatCode="0.00%">
                  <c:v>5.8529999999999999E-2</c:v>
                </c:pt>
                <c:pt idx="48" formatCode="0.00%">
                  <c:v>5.9242999999999997E-2</c:v>
                </c:pt>
                <c:pt idx="49" formatCode="0.00%">
                  <c:v>5.9957000000000003E-2</c:v>
                </c:pt>
                <c:pt idx="50" formatCode="0.00%">
                  <c:v>6.1385000000000002E-2</c:v>
                </c:pt>
                <c:pt idx="51" formatCode="0.00%">
                  <c:v>6.1385000000000002E-2</c:v>
                </c:pt>
                <c:pt idx="52" formatCode="0.00%">
                  <c:v>6.2099000000000001E-2</c:v>
                </c:pt>
                <c:pt idx="53" formatCode="0.00%">
                  <c:v>6.2812000000000007E-2</c:v>
                </c:pt>
                <c:pt idx="54" formatCode="0.00%">
                  <c:v>6.3525999999999999E-2</c:v>
                </c:pt>
                <c:pt idx="55" formatCode="0.00%">
                  <c:v>6.4240000000000005E-2</c:v>
                </c:pt>
                <c:pt idx="56" formatCode="0.00%">
                  <c:v>6.6380999999999996E-2</c:v>
                </c:pt>
                <c:pt idx="57" formatCode="0.00%">
                  <c:v>6.6380999999999996E-2</c:v>
                </c:pt>
                <c:pt idx="58" formatCode="0.00%">
                  <c:v>6.7095000000000002E-2</c:v>
                </c:pt>
                <c:pt idx="59" formatCode="0.00%">
                  <c:v>6.7095000000000002E-2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F17-4B21-87E7-1E55E11F8082}"/>
            </c:ext>
          </c:extLst>
        </c:ser>
        <c:ser>
          <c:idx val="5"/>
          <c:order val="5"/>
          <c:tx>
            <c:strRef>
              <c:f>'6. Vintage Analysis'!$G$42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'6. Vintage Analysis'!$A$43:$A$102</c:f>
              <c:strCache>
                <c:ptCount val="60"/>
                <c:pt idx="0">
                  <c:v>Cumulative Default Rate Curves - Selected Vintages (by months on books)</c:v>
                </c:pt>
                <c:pt idx="1">
                  <c:v>months_on_books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cat>
          <c:val>
            <c:numRef>
              <c:f>'6. Vintage Analysis'!$G$43:$G$102</c:f>
              <c:numCache>
                <c:formatCode>General</c:formatCode>
                <c:ptCount val="60"/>
                <c:pt idx="1">
                  <c:v>0</c:v>
                </c:pt>
                <c:pt idx="2" formatCode="0.00%">
                  <c:v>2.3770000000000002E-3</c:v>
                </c:pt>
                <c:pt idx="3" formatCode="0.00%">
                  <c:v>3.9620000000000002E-3</c:v>
                </c:pt>
                <c:pt idx="4" formatCode="0.00%">
                  <c:v>5.5469999999999998E-3</c:v>
                </c:pt>
                <c:pt idx="5" formatCode="0.00%">
                  <c:v>6.339E-3</c:v>
                </c:pt>
                <c:pt idx="6" formatCode="0.00%">
                  <c:v>8.7159999999999998E-3</c:v>
                </c:pt>
                <c:pt idx="7" formatCode="0.00%">
                  <c:v>1.0300999999999999E-2</c:v>
                </c:pt>
                <c:pt idx="8" formatCode="0.00%">
                  <c:v>1.1886000000000001E-2</c:v>
                </c:pt>
                <c:pt idx="9" formatCode="0.00%">
                  <c:v>1.5055000000000001E-2</c:v>
                </c:pt>
                <c:pt idx="10" formatCode="0.00%">
                  <c:v>1.6639999999999999E-2</c:v>
                </c:pt>
                <c:pt idx="11" formatCode="0.00%">
                  <c:v>1.9016999999999999E-2</c:v>
                </c:pt>
                <c:pt idx="12" formatCode="0.00%">
                  <c:v>2.0601999999999999E-2</c:v>
                </c:pt>
                <c:pt idx="13" formatCode="0.00%">
                  <c:v>2.2186999999999998E-2</c:v>
                </c:pt>
                <c:pt idx="14" formatCode="0.00%">
                  <c:v>2.2186999999999998E-2</c:v>
                </c:pt>
                <c:pt idx="15" formatCode="0.00%">
                  <c:v>2.2978999999999999E-2</c:v>
                </c:pt>
                <c:pt idx="16" formatCode="0.00%">
                  <c:v>2.4563999999999999E-2</c:v>
                </c:pt>
                <c:pt idx="17" formatCode="0.00%">
                  <c:v>2.6148999999999999E-2</c:v>
                </c:pt>
                <c:pt idx="18" formatCode="0.00%">
                  <c:v>3.0110999999999999E-2</c:v>
                </c:pt>
                <c:pt idx="19" formatCode="0.00%">
                  <c:v>3.2488000000000003E-2</c:v>
                </c:pt>
                <c:pt idx="20" formatCode="0.00%">
                  <c:v>3.4865E-2</c:v>
                </c:pt>
                <c:pt idx="21" formatCode="0.00%">
                  <c:v>3.7241999999999997E-2</c:v>
                </c:pt>
                <c:pt idx="22" formatCode="0.00%">
                  <c:v>4.0411999999999997E-2</c:v>
                </c:pt>
                <c:pt idx="23" formatCode="0.00%">
                  <c:v>4.2789000000000001E-2</c:v>
                </c:pt>
                <c:pt idx="24" formatCode="0.00%">
                  <c:v>4.5165999999999998E-2</c:v>
                </c:pt>
                <c:pt idx="25" formatCode="0.00%">
                  <c:v>4.7544000000000003E-2</c:v>
                </c:pt>
                <c:pt idx="26" formatCode="0.00%">
                  <c:v>4.9921E-2</c:v>
                </c:pt>
                <c:pt idx="27" formatCode="0.00%">
                  <c:v>5.0713000000000001E-2</c:v>
                </c:pt>
                <c:pt idx="28" formatCode="0.00%">
                  <c:v>5.1506000000000003E-2</c:v>
                </c:pt>
                <c:pt idx="29" formatCode="0.00%">
                  <c:v>5.3089999999999998E-2</c:v>
                </c:pt>
                <c:pt idx="30" formatCode="0.00%">
                  <c:v>5.3089999999999998E-2</c:v>
                </c:pt>
                <c:pt idx="31" formatCode="0.00%">
                  <c:v>5.3883E-2</c:v>
                </c:pt>
                <c:pt idx="32" formatCode="0.00%">
                  <c:v>5.6259999999999998E-2</c:v>
                </c:pt>
                <c:pt idx="33" formatCode="0.00%">
                  <c:v>5.7845000000000001E-2</c:v>
                </c:pt>
                <c:pt idx="34" formatCode="0.00%">
                  <c:v>5.7845000000000001E-2</c:v>
                </c:pt>
                <c:pt idx="35" formatCode="0.00%">
                  <c:v>6.0221999999999998E-2</c:v>
                </c:pt>
                <c:pt idx="36" formatCode="0.00%">
                  <c:v>6.0221999999999998E-2</c:v>
                </c:pt>
                <c:pt idx="37" formatCode="0.00%">
                  <c:v>6.1013999999999999E-2</c:v>
                </c:pt>
                <c:pt idx="38" formatCode="0.00%">
                  <c:v>6.1807000000000001E-2</c:v>
                </c:pt>
                <c:pt idx="39" formatCode="0.00%">
                  <c:v>6.1807000000000001E-2</c:v>
                </c:pt>
                <c:pt idx="40" formatCode="0.00%">
                  <c:v>6.1807000000000001E-2</c:v>
                </c:pt>
                <c:pt idx="41" formatCode="0.00%">
                  <c:v>6.3391000000000003E-2</c:v>
                </c:pt>
                <c:pt idx="42" formatCode="0.00%">
                  <c:v>6.3391000000000003E-2</c:v>
                </c:pt>
                <c:pt idx="43" formatCode="0.00%">
                  <c:v>6.3391000000000003E-2</c:v>
                </c:pt>
                <c:pt idx="44" formatCode="0.00%">
                  <c:v>6.4184000000000005E-2</c:v>
                </c:pt>
                <c:pt idx="45" formatCode="0.00%">
                  <c:v>6.5768999999999994E-2</c:v>
                </c:pt>
                <c:pt idx="46" formatCode="0.00%">
                  <c:v>6.8145999999999998E-2</c:v>
                </c:pt>
                <c:pt idx="47" formatCode="0.00%">
                  <c:v>6.8937999999999999E-2</c:v>
                </c:pt>
                <c:pt idx="48" formatCode="0.00%">
                  <c:v>6.9731000000000001E-2</c:v>
                </c:pt>
                <c:pt idx="49" formatCode="0.00%">
                  <c:v>7.0523000000000002E-2</c:v>
                </c:pt>
                <c:pt idx="50" formatCode="0.00%">
                  <c:v>7.1315000000000003E-2</c:v>
                </c:pt>
                <c:pt idx="51" formatCode="0.00%">
                  <c:v>7.2108000000000005E-2</c:v>
                </c:pt>
                <c:pt idx="52" formatCode="0.00%">
                  <c:v>7.2108000000000005E-2</c:v>
                </c:pt>
                <c:pt idx="53" formatCode="0.00%">
                  <c:v>7.2108000000000005E-2</c:v>
                </c:pt>
                <c:pt idx="54" formatCode="0.00%">
                  <c:v>7.2108000000000005E-2</c:v>
                </c:pt>
                <c:pt idx="55" formatCode="0.00%">
                  <c:v>7.2108000000000005E-2</c:v>
                </c:pt>
                <c:pt idx="56" formatCode="0.00%">
                  <c:v>7.3692999999999995E-2</c:v>
                </c:pt>
                <c:pt idx="57" formatCode="0.00%">
                  <c:v>7.5276999999999997E-2</c:v>
                </c:pt>
                <c:pt idx="58" formatCode="0.00%">
                  <c:v>7.5276999999999997E-2</c:v>
                </c:pt>
                <c:pt idx="59" formatCode="0.00%">
                  <c:v>7.6069999999999999E-2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F17-4B21-87E7-1E55E11F8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Months on Books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Cum. Default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Expected Loss Increase % by Sector (Adverse vs Severe vs COVID-like)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'7. Macro Stress'!$D$12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Macro Stress'!$A$13:$A$22</c:f>
              <c:strCache>
                <c:ptCount val="10"/>
                <c:pt idx="0">
                  <c:v>Expected Loss Increase % by Sector &amp; Scenario (vs baseline)</c:v>
                </c:pt>
                <c:pt idx="1">
                  <c:v>sector</c:v>
                </c:pt>
                <c:pt idx="2">
                  <c:v>Consumer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Real_Estate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'7. Macro Stress'!$D$13:$D$22</c:f>
              <c:numCache>
                <c:formatCode>General</c:formatCode>
                <c:ptCount val="10"/>
                <c:pt idx="1">
                  <c:v>0</c:v>
                </c:pt>
                <c:pt idx="2">
                  <c:v>31.5</c:v>
                </c:pt>
                <c:pt idx="3">
                  <c:v>46.6</c:v>
                </c:pt>
                <c:pt idx="4">
                  <c:v>56.5</c:v>
                </c:pt>
                <c:pt idx="5">
                  <c:v>40</c:v>
                </c:pt>
                <c:pt idx="6">
                  <c:v>38.1</c:v>
                </c:pt>
                <c:pt idx="7">
                  <c:v>48.5</c:v>
                </c:pt>
                <c:pt idx="8">
                  <c:v>34.200000000000003</c:v>
                </c:pt>
                <c:pt idx="9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5-4D69-9C7D-BBD671F38561}"/>
            </c:ext>
          </c:extLst>
        </c:ser>
        <c:ser>
          <c:idx val="1"/>
          <c:order val="1"/>
          <c:tx>
            <c:strRef>
              <c:f>'7. Macro Stress'!$E$12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Macro Stress'!$A$13:$A$22</c:f>
              <c:strCache>
                <c:ptCount val="10"/>
                <c:pt idx="0">
                  <c:v>Expected Loss Increase % by Sector &amp; Scenario (vs baseline)</c:v>
                </c:pt>
                <c:pt idx="1">
                  <c:v>sector</c:v>
                </c:pt>
                <c:pt idx="2">
                  <c:v>Consumer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Real_Estate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'7. Macro Stress'!$E$13:$E$22</c:f>
              <c:numCache>
                <c:formatCode>General</c:formatCode>
                <c:ptCount val="10"/>
                <c:pt idx="1">
                  <c:v>0</c:v>
                </c:pt>
                <c:pt idx="2">
                  <c:v>78</c:v>
                </c:pt>
                <c:pt idx="3">
                  <c:v>109</c:v>
                </c:pt>
                <c:pt idx="4">
                  <c:v>121</c:v>
                </c:pt>
                <c:pt idx="5">
                  <c:v>88.1</c:v>
                </c:pt>
                <c:pt idx="6">
                  <c:v>91</c:v>
                </c:pt>
                <c:pt idx="7">
                  <c:v>114</c:v>
                </c:pt>
                <c:pt idx="8">
                  <c:v>82</c:v>
                </c:pt>
                <c:pt idx="9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5-4D69-9C7D-BBD671F38561}"/>
            </c:ext>
          </c:extLst>
        </c:ser>
        <c:ser>
          <c:idx val="2"/>
          <c:order val="2"/>
          <c:tx>
            <c:strRef>
              <c:f>'7. Macro Stress'!$G$12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Macro Stress'!$A$13:$A$22</c:f>
              <c:strCache>
                <c:ptCount val="10"/>
                <c:pt idx="0">
                  <c:v>Expected Loss Increase % by Sector &amp; Scenario (vs baseline)</c:v>
                </c:pt>
                <c:pt idx="1">
                  <c:v>sector</c:v>
                </c:pt>
                <c:pt idx="2">
                  <c:v>Consumer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Real_Estate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'7. Macro Stress'!$G$13:$G$22</c:f>
              <c:numCache>
                <c:formatCode>General</c:formatCode>
                <c:ptCount val="10"/>
                <c:pt idx="1">
                  <c:v>0</c:v>
                </c:pt>
                <c:pt idx="2">
                  <c:v>128.80000000000001</c:v>
                </c:pt>
                <c:pt idx="3">
                  <c:v>178.6</c:v>
                </c:pt>
                <c:pt idx="4">
                  <c:v>192.6</c:v>
                </c:pt>
                <c:pt idx="5">
                  <c:v>140.6</c:v>
                </c:pt>
                <c:pt idx="6">
                  <c:v>149.19999999999999</c:v>
                </c:pt>
                <c:pt idx="7">
                  <c:v>187.4</c:v>
                </c:pt>
                <c:pt idx="8">
                  <c:v>134.19999999999999</c:v>
                </c:pt>
                <c:pt idx="9">
                  <c:v>129.5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B5-4D69-9C7D-BBD671F38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EL Increase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PD Multiplier by Scenario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'7. Macro Stress'!$F$4</c:f>
              <c:strCache>
                <c:ptCount val="1"/>
                <c:pt idx="0">
                  <c:v>pd_multiplier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Macro Stress'!$A$5:$A$10</c:f>
              <c:strCache>
                <c:ptCount val="6"/>
                <c:pt idx="0">
                  <c:v>baseline</c:v>
                </c:pt>
                <c:pt idx="1">
                  <c:v>mild</c:v>
                </c:pt>
                <c:pt idx="2">
                  <c:v>adverse</c:v>
                </c:pt>
                <c:pt idx="3">
                  <c:v>severe</c:v>
                </c:pt>
                <c:pt idx="4">
                  <c:v>gfc_like</c:v>
                </c:pt>
                <c:pt idx="5">
                  <c:v>covid_like</c:v>
                </c:pt>
              </c:strCache>
            </c:strRef>
          </c:cat>
          <c:val>
            <c:numRef>
              <c:f>'7. Macro Stress'!$F$5:$F$10</c:f>
              <c:numCache>
                <c:formatCode>General</c:formatCode>
                <c:ptCount val="6"/>
                <c:pt idx="0">
                  <c:v>1</c:v>
                </c:pt>
                <c:pt idx="1">
                  <c:v>1.198</c:v>
                </c:pt>
                <c:pt idx="2">
                  <c:v>1.494</c:v>
                </c:pt>
                <c:pt idx="3">
                  <c:v>1.9910000000000001</c:v>
                </c:pt>
                <c:pt idx="4">
                  <c:v>1.806</c:v>
                </c:pt>
                <c:pt idx="5">
                  <c:v>2.5259999999999998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C-45CD-85DF-3F5999077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Avg EL Rate vs Unemployment by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'8. Portfolio Metrics'!$D$4</c:f>
              <c:strCache>
                <c:ptCount val="1"/>
                <c:pt idx="0">
                  <c:v>avg_el_rate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'8. Portfolio Metrics'!$A$5:$A$14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'8. Portfolio Metrics'!$D$5:$D$14</c:f>
              <c:numCache>
                <c:formatCode>0.00%</c:formatCode>
                <c:ptCount val="10"/>
                <c:pt idx="0">
                  <c:v>1.21E-2</c:v>
                </c:pt>
                <c:pt idx="1">
                  <c:v>1.14E-2</c:v>
                </c:pt>
                <c:pt idx="2">
                  <c:v>1.15E-2</c:v>
                </c:pt>
                <c:pt idx="3">
                  <c:v>1.12E-2</c:v>
                </c:pt>
                <c:pt idx="4">
                  <c:v>1.12E-2</c:v>
                </c:pt>
                <c:pt idx="5">
                  <c:v>1.2E-2</c:v>
                </c:pt>
                <c:pt idx="6">
                  <c:v>1.24E-2</c:v>
                </c:pt>
                <c:pt idx="7">
                  <c:v>1.2200000000000001E-2</c:v>
                </c:pt>
                <c:pt idx="8">
                  <c:v>1.1900000000000001E-2</c:v>
                </c:pt>
                <c:pt idx="9">
                  <c:v>1.14E-2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27-4AC0-84EB-B387930D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New Defaults vs Unemployment by Year (Total/Avg)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'8. Portfolio Metrics'!$F$4</c:f>
              <c:strCache>
                <c:ptCount val="1"/>
                <c:pt idx="0">
                  <c:v>total_new_defaults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'8. Portfolio Metrics'!$F$5:$F$14</c:f>
              <c:numCache>
                <c:formatCode>General</c:formatCode>
                <c:ptCount val="10"/>
                <c:pt idx="0">
                  <c:v>56</c:v>
                </c:pt>
                <c:pt idx="1">
                  <c:v>164</c:v>
                </c:pt>
                <c:pt idx="2">
                  <c:v>284</c:v>
                </c:pt>
                <c:pt idx="3">
                  <c:v>327</c:v>
                </c:pt>
                <c:pt idx="4">
                  <c:v>381</c:v>
                </c:pt>
                <c:pt idx="5">
                  <c:v>3335</c:v>
                </c:pt>
                <c:pt idx="6">
                  <c:v>421</c:v>
                </c:pt>
                <c:pt idx="7">
                  <c:v>466</c:v>
                </c:pt>
                <c:pt idx="8">
                  <c:v>444</c:v>
                </c:pt>
                <c:pt idx="9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68-4784-94B6-6C0B7CDCC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EL Rate Trend (Full History)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'8. Portfolio Metrics'!$D$28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'8. Portfolio Metrics'!$A$29:$A$148</c:f>
              <c:strCache>
                <c:ptCount val="120"/>
                <c:pt idx="0">
                  <c:v>Full Monthly Time Series</c:v>
                </c:pt>
                <c:pt idx="1">
                  <c:v>date</c:v>
                </c:pt>
                <c:pt idx="2">
                  <c:v>2015-01-01 0:00:00</c:v>
                </c:pt>
                <c:pt idx="3">
                  <c:v>2015-02-01 0:00:00</c:v>
                </c:pt>
                <c:pt idx="4">
                  <c:v>2015-03-01 0:00:00</c:v>
                </c:pt>
                <c:pt idx="5">
                  <c:v>2015-04-01 0:00:00</c:v>
                </c:pt>
                <c:pt idx="6">
                  <c:v>2015-05-01 0:00:00</c:v>
                </c:pt>
                <c:pt idx="7">
                  <c:v>2015-06-01 0:00:00</c:v>
                </c:pt>
                <c:pt idx="8">
                  <c:v>2015-07-01 0:00:00</c:v>
                </c:pt>
                <c:pt idx="9">
                  <c:v>2015-08-01 0:00:00</c:v>
                </c:pt>
                <c:pt idx="10">
                  <c:v>2015-09-01 0:00:00</c:v>
                </c:pt>
                <c:pt idx="11">
                  <c:v>2015-10-01 0:00:00</c:v>
                </c:pt>
                <c:pt idx="12">
                  <c:v>2015-11-01 0:00:00</c:v>
                </c:pt>
                <c:pt idx="13">
                  <c:v>2015-12-01 0:00:00</c:v>
                </c:pt>
                <c:pt idx="14">
                  <c:v>2016-01-01 0:00:00</c:v>
                </c:pt>
                <c:pt idx="15">
                  <c:v>2016-02-01 0:00:00</c:v>
                </c:pt>
                <c:pt idx="16">
                  <c:v>2016-03-01 0:00:00</c:v>
                </c:pt>
                <c:pt idx="17">
                  <c:v>2016-04-01 0:00:00</c:v>
                </c:pt>
                <c:pt idx="18">
                  <c:v>2016-05-01 0:00:00</c:v>
                </c:pt>
                <c:pt idx="19">
                  <c:v>2016-06-01 0:00:00</c:v>
                </c:pt>
                <c:pt idx="20">
                  <c:v>2016-07-01 0:00:00</c:v>
                </c:pt>
                <c:pt idx="21">
                  <c:v>2016-08-01 0:00:00</c:v>
                </c:pt>
                <c:pt idx="22">
                  <c:v>2016-09-01 0:00:00</c:v>
                </c:pt>
                <c:pt idx="23">
                  <c:v>2016-10-01 0:00:00</c:v>
                </c:pt>
                <c:pt idx="24">
                  <c:v>2016-11-01 0:00:00</c:v>
                </c:pt>
                <c:pt idx="25">
                  <c:v>2016-12-01 0:00:00</c:v>
                </c:pt>
                <c:pt idx="26">
                  <c:v>2017-01-01 0:00:00</c:v>
                </c:pt>
                <c:pt idx="27">
                  <c:v>2017-02-01 0:00:00</c:v>
                </c:pt>
                <c:pt idx="28">
                  <c:v>2017-03-01 0:00:00</c:v>
                </c:pt>
                <c:pt idx="29">
                  <c:v>2017-04-01 0:00:00</c:v>
                </c:pt>
                <c:pt idx="30">
                  <c:v>2017-05-01 0:00:00</c:v>
                </c:pt>
                <c:pt idx="31">
                  <c:v>2017-06-01 0:00:00</c:v>
                </c:pt>
                <c:pt idx="32">
                  <c:v>2017-07-01 0:00:00</c:v>
                </c:pt>
                <c:pt idx="33">
                  <c:v>2017-08-01 0:00:00</c:v>
                </c:pt>
                <c:pt idx="34">
                  <c:v>2017-09-01 0:00:00</c:v>
                </c:pt>
                <c:pt idx="35">
                  <c:v>2017-10-01 0:00:00</c:v>
                </c:pt>
                <c:pt idx="36">
                  <c:v>2017-11-01 0:00:00</c:v>
                </c:pt>
                <c:pt idx="37">
                  <c:v>2017-12-01 0:00:00</c:v>
                </c:pt>
                <c:pt idx="38">
                  <c:v>2018-01-01 0:00:00</c:v>
                </c:pt>
                <c:pt idx="39">
                  <c:v>2018-02-01 0:00:00</c:v>
                </c:pt>
                <c:pt idx="40">
                  <c:v>2018-03-01 0:00:00</c:v>
                </c:pt>
                <c:pt idx="41">
                  <c:v>2018-04-01 0:00:00</c:v>
                </c:pt>
                <c:pt idx="42">
                  <c:v>2018-05-01 0:00:00</c:v>
                </c:pt>
                <c:pt idx="43">
                  <c:v>2018-06-01 0:00:00</c:v>
                </c:pt>
                <c:pt idx="44">
                  <c:v>2018-07-01 0:00:00</c:v>
                </c:pt>
                <c:pt idx="45">
                  <c:v>2018-08-01 0:00:00</c:v>
                </c:pt>
                <c:pt idx="46">
                  <c:v>2018-09-01 0:00:00</c:v>
                </c:pt>
                <c:pt idx="47">
                  <c:v>2018-10-01 0:00:00</c:v>
                </c:pt>
                <c:pt idx="48">
                  <c:v>2018-11-01 0:00:00</c:v>
                </c:pt>
                <c:pt idx="49">
                  <c:v>2018-12-01 0:00:00</c:v>
                </c:pt>
                <c:pt idx="50">
                  <c:v>2019-01-01 0:00:00</c:v>
                </c:pt>
                <c:pt idx="51">
                  <c:v>2019-02-01 0:00:00</c:v>
                </c:pt>
                <c:pt idx="52">
                  <c:v>2019-03-01 0:00:00</c:v>
                </c:pt>
                <c:pt idx="53">
                  <c:v>2019-04-01 0:00:00</c:v>
                </c:pt>
                <c:pt idx="54">
                  <c:v>2019-05-01 0:00:00</c:v>
                </c:pt>
                <c:pt idx="55">
                  <c:v>2019-06-01 0:00:00</c:v>
                </c:pt>
                <c:pt idx="56">
                  <c:v>2019-07-01 0:00:00</c:v>
                </c:pt>
                <c:pt idx="57">
                  <c:v>2019-08-01 0:00:00</c:v>
                </c:pt>
                <c:pt idx="58">
                  <c:v>2019-09-01 0:00:00</c:v>
                </c:pt>
                <c:pt idx="59">
                  <c:v>2019-10-01 0:00:00</c:v>
                </c:pt>
                <c:pt idx="60">
                  <c:v>2019-11-01 0:00:00</c:v>
                </c:pt>
                <c:pt idx="61">
                  <c:v>2019-12-01 0:00:00</c:v>
                </c:pt>
                <c:pt idx="62">
                  <c:v>2020-01-01 0:00:00</c:v>
                </c:pt>
                <c:pt idx="63">
                  <c:v>2020-02-01 0:00:00</c:v>
                </c:pt>
                <c:pt idx="64">
                  <c:v>2020-03-01 0:00:00</c:v>
                </c:pt>
                <c:pt idx="65">
                  <c:v>2020-04-01 0:00:00</c:v>
                </c:pt>
                <c:pt idx="66">
                  <c:v>2020-05-01 0:00:00</c:v>
                </c:pt>
                <c:pt idx="67">
                  <c:v>2020-06-01 0:00:00</c:v>
                </c:pt>
                <c:pt idx="68">
                  <c:v>2020-07-01 0:00:00</c:v>
                </c:pt>
                <c:pt idx="69">
                  <c:v>2020-08-01 0:00:00</c:v>
                </c:pt>
                <c:pt idx="70">
                  <c:v>2020-09-01 0:00:00</c:v>
                </c:pt>
                <c:pt idx="71">
                  <c:v>2020-10-01 0:00:00</c:v>
                </c:pt>
                <c:pt idx="72">
                  <c:v>2020-11-01 0:00:00</c:v>
                </c:pt>
                <c:pt idx="73">
                  <c:v>2020-12-01 0:00:00</c:v>
                </c:pt>
                <c:pt idx="74">
                  <c:v>2021-01-01 0:00:00</c:v>
                </c:pt>
                <c:pt idx="75">
                  <c:v>2021-02-01 0:00:00</c:v>
                </c:pt>
                <c:pt idx="76">
                  <c:v>2021-03-01 0:00:00</c:v>
                </c:pt>
                <c:pt idx="77">
                  <c:v>2021-04-01 0:00:00</c:v>
                </c:pt>
                <c:pt idx="78">
                  <c:v>2021-05-01 0:00:00</c:v>
                </c:pt>
                <c:pt idx="79">
                  <c:v>2021-06-01 0:00:00</c:v>
                </c:pt>
                <c:pt idx="80">
                  <c:v>2021-07-01 0:00:00</c:v>
                </c:pt>
                <c:pt idx="81">
                  <c:v>2021-08-01 0:00:00</c:v>
                </c:pt>
                <c:pt idx="82">
                  <c:v>2021-09-01 0:00:00</c:v>
                </c:pt>
                <c:pt idx="83">
                  <c:v>2021-10-01 0:00:00</c:v>
                </c:pt>
                <c:pt idx="84">
                  <c:v>2021-11-01 0:00:00</c:v>
                </c:pt>
                <c:pt idx="85">
                  <c:v>2021-12-01 0:00:00</c:v>
                </c:pt>
                <c:pt idx="86">
                  <c:v>2022-01-01 0:00:00</c:v>
                </c:pt>
                <c:pt idx="87">
                  <c:v>2022-02-01 0:00:00</c:v>
                </c:pt>
                <c:pt idx="88">
                  <c:v>2022-03-01 0:00:00</c:v>
                </c:pt>
                <c:pt idx="89">
                  <c:v>2022-04-01 0:00:00</c:v>
                </c:pt>
                <c:pt idx="90">
                  <c:v>2022-05-01 0:00:00</c:v>
                </c:pt>
                <c:pt idx="91">
                  <c:v>2022-06-01 0:00:00</c:v>
                </c:pt>
                <c:pt idx="92">
                  <c:v>2022-07-01 0:00:00</c:v>
                </c:pt>
                <c:pt idx="93">
                  <c:v>2022-08-01 0:00:00</c:v>
                </c:pt>
                <c:pt idx="94">
                  <c:v>2022-09-01 0:00:00</c:v>
                </c:pt>
                <c:pt idx="95">
                  <c:v>2022-10-01 0:00:00</c:v>
                </c:pt>
                <c:pt idx="96">
                  <c:v>2022-11-01 0:00:00</c:v>
                </c:pt>
                <c:pt idx="97">
                  <c:v>2022-12-01 0:00:00</c:v>
                </c:pt>
                <c:pt idx="98">
                  <c:v>2023-01-01 0:00:00</c:v>
                </c:pt>
                <c:pt idx="99">
                  <c:v>2023-02-01 0:00:00</c:v>
                </c:pt>
                <c:pt idx="100">
                  <c:v>2023-03-01 0:00:00</c:v>
                </c:pt>
                <c:pt idx="101">
                  <c:v>2023-04-01 0:00:00</c:v>
                </c:pt>
                <c:pt idx="102">
                  <c:v>2023-05-01 0:00:00</c:v>
                </c:pt>
                <c:pt idx="103">
                  <c:v>2023-06-01 0:00:00</c:v>
                </c:pt>
                <c:pt idx="104">
                  <c:v>2023-07-01 0:00:00</c:v>
                </c:pt>
                <c:pt idx="105">
                  <c:v>2023-08-01 0:00:00</c:v>
                </c:pt>
                <c:pt idx="106">
                  <c:v>2023-09-01 0:00:00</c:v>
                </c:pt>
                <c:pt idx="107">
                  <c:v>2023-10-01 0:00:00</c:v>
                </c:pt>
                <c:pt idx="108">
                  <c:v>2023-11-01 0:00:00</c:v>
                </c:pt>
                <c:pt idx="109">
                  <c:v>2023-12-01 0:00:00</c:v>
                </c:pt>
                <c:pt idx="110">
                  <c:v>2024-01-01 0:00:00</c:v>
                </c:pt>
                <c:pt idx="111">
                  <c:v>2024-02-01 0:00:00</c:v>
                </c:pt>
                <c:pt idx="112">
                  <c:v>2024-03-01 0:00:00</c:v>
                </c:pt>
                <c:pt idx="113">
                  <c:v>2024-04-01 0:00:00</c:v>
                </c:pt>
                <c:pt idx="114">
                  <c:v>2024-05-01 0:00:00</c:v>
                </c:pt>
                <c:pt idx="115">
                  <c:v>2024-06-01 0:00:00</c:v>
                </c:pt>
                <c:pt idx="116">
                  <c:v>2024-07-01 0:00:00</c:v>
                </c:pt>
                <c:pt idx="117">
                  <c:v>2024-08-01 0:00:00</c:v>
                </c:pt>
                <c:pt idx="118">
                  <c:v>2024-09-01 0:00:00</c:v>
                </c:pt>
                <c:pt idx="119">
                  <c:v>2024-10-01 0:00:00</c:v>
                </c:pt>
              </c:strCache>
            </c:strRef>
          </c:cat>
          <c:val>
            <c:numRef>
              <c:f>'8. Portfolio Metrics'!$D$29:$D$148</c:f>
              <c:numCache>
                <c:formatCode>General</c:formatCode>
                <c:ptCount val="120"/>
                <c:pt idx="1">
                  <c:v>0</c:v>
                </c:pt>
                <c:pt idx="2" formatCode="0.00%">
                  <c:v>1.5164E-2</c:v>
                </c:pt>
                <c:pt idx="3" formatCode="0.00%">
                  <c:v>1.2839E-2</c:v>
                </c:pt>
                <c:pt idx="4" formatCode="0.00%">
                  <c:v>1.1964000000000001E-2</c:v>
                </c:pt>
                <c:pt idx="5" formatCode="0.00%">
                  <c:v>1.1786E-2</c:v>
                </c:pt>
                <c:pt idx="6" formatCode="0.00%">
                  <c:v>1.1845E-2</c:v>
                </c:pt>
                <c:pt idx="7" formatCode="0.00%">
                  <c:v>1.1506000000000001E-2</c:v>
                </c:pt>
                <c:pt idx="8" formatCode="0.00%">
                  <c:v>1.1391E-2</c:v>
                </c:pt>
                <c:pt idx="9" formatCode="0.00%">
                  <c:v>1.1882999999999999E-2</c:v>
                </c:pt>
                <c:pt idx="10" formatCode="0.00%">
                  <c:v>1.1781E-2</c:v>
                </c:pt>
                <c:pt idx="11" formatCode="0.00%">
                  <c:v>1.1520000000000001E-2</c:v>
                </c:pt>
                <c:pt idx="12" formatCode="0.00%">
                  <c:v>1.1797E-2</c:v>
                </c:pt>
                <c:pt idx="13" formatCode="0.00%">
                  <c:v>1.1828999999999999E-2</c:v>
                </c:pt>
                <c:pt idx="14" formatCode="0.00%">
                  <c:v>1.1572000000000001E-2</c:v>
                </c:pt>
                <c:pt idx="15" formatCode="0.00%">
                  <c:v>1.1403999999999999E-2</c:v>
                </c:pt>
                <c:pt idx="16" formatCode="0.00%">
                  <c:v>1.1495E-2</c:v>
                </c:pt>
                <c:pt idx="17" formatCode="0.00%">
                  <c:v>1.1265000000000001E-2</c:v>
                </c:pt>
                <c:pt idx="18" formatCode="0.00%">
                  <c:v>1.1375E-2</c:v>
                </c:pt>
                <c:pt idx="19" formatCode="0.00%">
                  <c:v>1.137E-2</c:v>
                </c:pt>
                <c:pt idx="20" formatCode="0.00%">
                  <c:v>1.1329000000000001E-2</c:v>
                </c:pt>
                <c:pt idx="21" formatCode="0.00%">
                  <c:v>1.1361E-2</c:v>
                </c:pt>
                <c:pt idx="22" formatCode="0.00%">
                  <c:v>1.1328E-2</c:v>
                </c:pt>
                <c:pt idx="23" formatCode="0.00%">
                  <c:v>1.1278E-2</c:v>
                </c:pt>
                <c:pt idx="24" formatCode="0.00%">
                  <c:v>1.1214999999999999E-2</c:v>
                </c:pt>
                <c:pt idx="25" formatCode="0.00%">
                  <c:v>1.1289E-2</c:v>
                </c:pt>
                <c:pt idx="26" formatCode="0.00%">
                  <c:v>1.1441E-2</c:v>
                </c:pt>
                <c:pt idx="27" formatCode="0.00%">
                  <c:v>1.1464E-2</c:v>
                </c:pt>
                <c:pt idx="28" formatCode="0.00%">
                  <c:v>1.158E-2</c:v>
                </c:pt>
                <c:pt idx="29" formatCode="0.00%">
                  <c:v>1.1634E-2</c:v>
                </c:pt>
                <c:pt idx="30" formatCode="0.00%">
                  <c:v>1.167E-2</c:v>
                </c:pt>
                <c:pt idx="31" formatCode="0.00%">
                  <c:v>1.1627999999999999E-2</c:v>
                </c:pt>
                <c:pt idx="32" formatCode="0.00%">
                  <c:v>1.1627999999999999E-2</c:v>
                </c:pt>
                <c:pt idx="33" formatCode="0.00%">
                  <c:v>1.141E-2</c:v>
                </c:pt>
                <c:pt idx="34" formatCode="0.00%">
                  <c:v>1.1346E-2</c:v>
                </c:pt>
                <c:pt idx="35" formatCode="0.00%">
                  <c:v>1.1268E-2</c:v>
                </c:pt>
                <c:pt idx="36" formatCode="0.00%">
                  <c:v>1.1216E-2</c:v>
                </c:pt>
                <c:pt idx="37" formatCode="0.00%">
                  <c:v>1.1247E-2</c:v>
                </c:pt>
                <c:pt idx="38" formatCode="0.00%">
                  <c:v>1.1135000000000001E-2</c:v>
                </c:pt>
                <c:pt idx="39" formatCode="0.00%">
                  <c:v>1.1103E-2</c:v>
                </c:pt>
                <c:pt idx="40" formatCode="0.00%">
                  <c:v>1.1027E-2</c:v>
                </c:pt>
                <c:pt idx="41" formatCode="0.00%">
                  <c:v>1.1119E-2</c:v>
                </c:pt>
                <c:pt idx="42" formatCode="0.00%">
                  <c:v>1.1102000000000001E-2</c:v>
                </c:pt>
                <c:pt idx="43" formatCode="0.00%">
                  <c:v>1.115E-2</c:v>
                </c:pt>
                <c:pt idx="44" formatCode="0.00%">
                  <c:v>1.1243E-2</c:v>
                </c:pt>
                <c:pt idx="45" formatCode="0.00%">
                  <c:v>1.1221999999999999E-2</c:v>
                </c:pt>
                <c:pt idx="46" formatCode="0.00%">
                  <c:v>1.1166000000000001E-2</c:v>
                </c:pt>
                <c:pt idx="47" formatCode="0.00%">
                  <c:v>1.1310000000000001E-2</c:v>
                </c:pt>
                <c:pt idx="48" formatCode="0.00%">
                  <c:v>1.1235999999999999E-2</c:v>
                </c:pt>
                <c:pt idx="49" formatCode="0.00%">
                  <c:v>1.1145E-2</c:v>
                </c:pt>
                <c:pt idx="50" formatCode="0.00%">
                  <c:v>1.1186E-2</c:v>
                </c:pt>
                <c:pt idx="51" formatCode="0.00%">
                  <c:v>1.1188999999999999E-2</c:v>
                </c:pt>
                <c:pt idx="52" formatCode="0.00%">
                  <c:v>1.1155E-2</c:v>
                </c:pt>
                <c:pt idx="53" formatCode="0.00%">
                  <c:v>1.1145E-2</c:v>
                </c:pt>
                <c:pt idx="54" formatCode="0.00%">
                  <c:v>1.1198E-2</c:v>
                </c:pt>
                <c:pt idx="55" formatCode="0.00%">
                  <c:v>1.1206000000000001E-2</c:v>
                </c:pt>
                <c:pt idx="56" formatCode="0.00%">
                  <c:v>1.1166000000000001E-2</c:v>
                </c:pt>
                <c:pt idx="57" formatCode="0.00%">
                  <c:v>1.1240999999999999E-2</c:v>
                </c:pt>
                <c:pt idx="58" formatCode="0.00%">
                  <c:v>1.1221E-2</c:v>
                </c:pt>
                <c:pt idx="59" formatCode="0.00%">
                  <c:v>1.1324000000000001E-2</c:v>
                </c:pt>
                <c:pt idx="60" formatCode="0.00%">
                  <c:v>1.1305000000000001E-2</c:v>
                </c:pt>
                <c:pt idx="61" formatCode="0.00%">
                  <c:v>1.1483E-2</c:v>
                </c:pt>
                <c:pt idx="62" formatCode="0.00%">
                  <c:v>1.1535E-2</c:v>
                </c:pt>
                <c:pt idx="63" formatCode="0.00%">
                  <c:v>1.1356E-2</c:v>
                </c:pt>
                <c:pt idx="64" formatCode="0.00%">
                  <c:v>1.1664000000000001E-2</c:v>
                </c:pt>
                <c:pt idx="65" formatCode="0.00%">
                  <c:v>1.179E-2</c:v>
                </c:pt>
                <c:pt idx="66" formatCode="0.00%">
                  <c:v>1.2017E-2</c:v>
                </c:pt>
                <c:pt idx="67" formatCode="0.00%">
                  <c:v>1.2038999999999999E-2</c:v>
                </c:pt>
                <c:pt idx="68" formatCode="0.00%">
                  <c:v>1.2149E-2</c:v>
                </c:pt>
                <c:pt idx="69" formatCode="0.00%">
                  <c:v>1.2201E-2</c:v>
                </c:pt>
                <c:pt idx="70" formatCode="0.00%">
                  <c:v>1.2224E-2</c:v>
                </c:pt>
                <c:pt idx="71" formatCode="0.00%">
                  <c:v>1.2453000000000001E-2</c:v>
                </c:pt>
                <c:pt idx="72" formatCode="0.00%">
                  <c:v>1.2467000000000001E-2</c:v>
                </c:pt>
                <c:pt idx="73" formatCode="0.00%">
                  <c:v>1.2581E-2</c:v>
                </c:pt>
                <c:pt idx="74" formatCode="0.00%">
                  <c:v>1.2534E-2</c:v>
                </c:pt>
                <c:pt idx="75" formatCode="0.00%">
                  <c:v>1.2511E-2</c:v>
                </c:pt>
                <c:pt idx="76" formatCode="0.00%">
                  <c:v>1.2514000000000001E-2</c:v>
                </c:pt>
                <c:pt idx="77" formatCode="0.00%">
                  <c:v>1.2429000000000001E-2</c:v>
                </c:pt>
                <c:pt idx="78" formatCode="0.00%">
                  <c:v>1.2470999999999999E-2</c:v>
                </c:pt>
                <c:pt idx="79" formatCode="0.00%">
                  <c:v>1.2444E-2</c:v>
                </c:pt>
                <c:pt idx="80" formatCode="0.00%">
                  <c:v>1.2437E-2</c:v>
                </c:pt>
                <c:pt idx="81" formatCode="0.00%">
                  <c:v>1.2402E-2</c:v>
                </c:pt>
                <c:pt idx="82" formatCode="0.00%">
                  <c:v>1.2425E-2</c:v>
                </c:pt>
                <c:pt idx="83" formatCode="0.00%">
                  <c:v>1.2435999999999999E-2</c:v>
                </c:pt>
                <c:pt idx="84" formatCode="0.00%">
                  <c:v>1.2388E-2</c:v>
                </c:pt>
                <c:pt idx="85" formatCode="0.00%">
                  <c:v>1.2375000000000001E-2</c:v>
                </c:pt>
                <c:pt idx="86" formatCode="0.00%">
                  <c:v>1.2279999999999999E-2</c:v>
                </c:pt>
                <c:pt idx="87" formatCode="0.00%">
                  <c:v>1.2290000000000001E-2</c:v>
                </c:pt>
                <c:pt idx="88" formatCode="0.00%">
                  <c:v>1.2300999999999999E-2</c:v>
                </c:pt>
                <c:pt idx="89" formatCode="0.00%">
                  <c:v>1.2343E-2</c:v>
                </c:pt>
                <c:pt idx="90" formatCode="0.00%">
                  <c:v>1.2374E-2</c:v>
                </c:pt>
                <c:pt idx="91" formatCode="0.00%">
                  <c:v>1.2286E-2</c:v>
                </c:pt>
                <c:pt idx="92" formatCode="0.00%">
                  <c:v>1.223E-2</c:v>
                </c:pt>
                <c:pt idx="93" formatCode="0.00%">
                  <c:v>1.2260999999999999E-2</c:v>
                </c:pt>
                <c:pt idx="94" formatCode="0.00%">
                  <c:v>1.2215E-2</c:v>
                </c:pt>
                <c:pt idx="95" formatCode="0.00%">
                  <c:v>1.2172000000000001E-2</c:v>
                </c:pt>
                <c:pt idx="96" formatCode="0.00%">
                  <c:v>1.2064999999999999E-2</c:v>
                </c:pt>
                <c:pt idx="97" formatCode="0.00%">
                  <c:v>1.21E-2</c:v>
                </c:pt>
                <c:pt idx="98" formatCode="0.00%">
                  <c:v>1.2061000000000001E-2</c:v>
                </c:pt>
                <c:pt idx="99" formatCode="0.00%">
                  <c:v>1.1982E-2</c:v>
                </c:pt>
                <c:pt idx="100" formatCode="0.00%">
                  <c:v>1.2033E-2</c:v>
                </c:pt>
                <c:pt idx="101" formatCode="0.00%">
                  <c:v>1.2021E-2</c:v>
                </c:pt>
                <c:pt idx="102" formatCode="0.00%">
                  <c:v>1.2023000000000001E-2</c:v>
                </c:pt>
                <c:pt idx="103" formatCode="0.00%">
                  <c:v>1.2019E-2</c:v>
                </c:pt>
                <c:pt idx="104" formatCode="0.00%">
                  <c:v>1.1897E-2</c:v>
                </c:pt>
                <c:pt idx="105" formatCode="0.00%">
                  <c:v>1.1860000000000001E-2</c:v>
                </c:pt>
                <c:pt idx="106" formatCode="0.00%">
                  <c:v>1.1788E-2</c:v>
                </c:pt>
                <c:pt idx="107" formatCode="0.00%">
                  <c:v>1.1736999999999999E-2</c:v>
                </c:pt>
                <c:pt idx="108" formatCode="0.00%">
                  <c:v>1.1731999999999999E-2</c:v>
                </c:pt>
                <c:pt idx="109" formatCode="0.00%">
                  <c:v>1.1698E-2</c:v>
                </c:pt>
                <c:pt idx="110" formatCode="0.00%">
                  <c:v>1.1679999999999999E-2</c:v>
                </c:pt>
                <c:pt idx="111" formatCode="0.00%">
                  <c:v>1.1656E-2</c:v>
                </c:pt>
                <c:pt idx="112" formatCode="0.00%">
                  <c:v>1.1707E-2</c:v>
                </c:pt>
                <c:pt idx="113" formatCode="0.00%">
                  <c:v>1.1564E-2</c:v>
                </c:pt>
                <c:pt idx="114" formatCode="0.00%">
                  <c:v>1.1526E-2</c:v>
                </c:pt>
                <c:pt idx="115" formatCode="0.00%">
                  <c:v>1.1422E-2</c:v>
                </c:pt>
                <c:pt idx="116" formatCode="0.00%">
                  <c:v>1.1372E-2</c:v>
                </c:pt>
                <c:pt idx="117" formatCode="0.00%">
                  <c:v>1.1365E-2</c:v>
                </c:pt>
                <c:pt idx="118" formatCode="0.00%">
                  <c:v>1.1305000000000001E-2</c:v>
                </c:pt>
                <c:pt idx="119" formatCode="0.00%">
                  <c:v>1.1294999999999999E-2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F5-47E2-8756-C4D3DE13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EAD Share by Sector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'10. Risk Concentration'!$C$4</c:f>
              <c:strCache>
                <c:ptCount val="1"/>
                <c:pt idx="0">
                  <c:v>EAD Share 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'10. Risk Concentration'!$A$5:$A$14</c:f>
              <c:strCache>
                <c:ptCount val="10"/>
                <c:pt idx="0">
                  <c:v>Financials</c:v>
                </c:pt>
                <c:pt idx="1">
                  <c:v>Real_Estate</c:v>
                </c:pt>
                <c:pt idx="2">
                  <c:v>Utilities</c:v>
                </c:pt>
                <c:pt idx="3">
                  <c:v>Energy</c:v>
                </c:pt>
                <c:pt idx="4">
                  <c:v>Telecom</c:v>
                </c:pt>
                <c:pt idx="5">
                  <c:v>Industrials</c:v>
                </c:pt>
                <c:pt idx="6">
                  <c:v>Technology</c:v>
                </c:pt>
                <c:pt idx="7">
                  <c:v>Healthcare</c:v>
                </c:pt>
                <c:pt idx="8">
                  <c:v>Consumer</c:v>
                </c:pt>
                <c:pt idx="9">
                  <c:v>Retail</c:v>
                </c:pt>
              </c:strCache>
            </c:strRef>
          </c:cat>
          <c:val>
            <c:numRef>
              <c:f>'10. Risk Concentration'!$C$5:$C$14</c:f>
              <c:numCache>
                <c:formatCode>0.00%</c:formatCode>
                <c:ptCount val="10"/>
                <c:pt idx="0">
                  <c:v>18.29</c:v>
                </c:pt>
                <c:pt idx="1">
                  <c:v>15.34</c:v>
                </c:pt>
                <c:pt idx="2">
                  <c:v>13.38</c:v>
                </c:pt>
                <c:pt idx="3">
                  <c:v>12.69</c:v>
                </c:pt>
                <c:pt idx="4">
                  <c:v>11.47</c:v>
                </c:pt>
                <c:pt idx="5">
                  <c:v>9.5299999999999994</c:v>
                </c:pt>
                <c:pt idx="6">
                  <c:v>7.74</c:v>
                </c:pt>
                <c:pt idx="7">
                  <c:v>6.09</c:v>
                </c:pt>
                <c:pt idx="8">
                  <c:v>3.06</c:v>
                </c:pt>
                <c:pt idx="9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E-456E-9195-2A91B3D03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EAD Share by Initial Rating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'10. Risk Concentration'!$C$16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'10. Risk Concentration'!$A$17:$A$23</c:f>
              <c:strCache>
                <c:ptCount val="7"/>
                <c:pt idx="0">
                  <c:v>Rating Concentration (EAD, Default Rate)</c:v>
                </c:pt>
                <c:pt idx="1">
                  <c:v>Initial Rating</c:v>
                </c:pt>
                <c:pt idx="2">
                  <c:v>AAA</c:v>
                </c:pt>
                <c:pt idx="3">
                  <c:v>AA</c:v>
                </c:pt>
                <c:pt idx="4">
                  <c:v>A</c:v>
                </c:pt>
                <c:pt idx="5">
                  <c:v>BBB</c:v>
                </c:pt>
                <c:pt idx="6">
                  <c:v>BB</c:v>
                </c:pt>
              </c:strCache>
            </c:strRef>
          </c:cat>
          <c:val>
            <c:numRef>
              <c:f>'10. Risk Concentration'!$C$17:$C$23</c:f>
              <c:numCache>
                <c:formatCode>General</c:formatCode>
                <c:ptCount val="7"/>
                <c:pt idx="1">
                  <c:v>0</c:v>
                </c:pt>
                <c:pt idx="2" formatCode="0.00%">
                  <c:v>3.33</c:v>
                </c:pt>
                <c:pt idx="3" formatCode="0.00%">
                  <c:v>7.72</c:v>
                </c:pt>
                <c:pt idx="4" formatCode="0.00%">
                  <c:v>15.38</c:v>
                </c:pt>
                <c:pt idx="5" formatCode="0.00%">
                  <c:v>27.27</c:v>
                </c:pt>
                <c:pt idx="6" formatCode="0.00%">
                  <c:v>22.51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B-42F0-BEDC-EE201B062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36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44</xdr:row>
      <xdr:rowOff>0</xdr:rowOff>
    </xdr:from>
    <xdr:ext cx="864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opLeftCell="A4" workbookViewId="0">
      <selection activeCell="A18" sqref="A18:E18"/>
    </sheetView>
  </sheetViews>
  <sheetFormatPr defaultRowHeight="14.4" x14ac:dyDescent="0.3"/>
  <cols>
    <col min="1" max="1" width="28" customWidth="1"/>
    <col min="2" max="2" width="60" customWidth="1"/>
    <col min="3" max="5" width="18" customWidth="1"/>
  </cols>
  <sheetData>
    <row r="1" spans="1:5" ht="28.05" customHeight="1" x14ac:dyDescent="0.3">
      <c r="A1" s="14" t="s">
        <v>0</v>
      </c>
      <c r="B1" s="13"/>
      <c r="C1" s="13"/>
      <c r="D1" s="13"/>
      <c r="E1" s="13"/>
    </row>
    <row r="2" spans="1:5" ht="6" customHeight="1" x14ac:dyDescent="0.3"/>
    <row r="4" spans="1:5" x14ac:dyDescent="0.3">
      <c r="A4" s="20" t="s">
        <v>1</v>
      </c>
      <c r="B4" s="20"/>
      <c r="C4" s="20"/>
      <c r="D4" s="20"/>
      <c r="E4" s="20"/>
    </row>
    <row r="5" spans="1:5" x14ac:dyDescent="0.3">
      <c r="A5" s="15" t="s">
        <v>2</v>
      </c>
      <c r="B5" s="16" t="s">
        <v>3</v>
      </c>
      <c r="C5" s="17"/>
      <c r="D5" s="17"/>
      <c r="E5" s="17"/>
    </row>
    <row r="6" spans="1:5" x14ac:dyDescent="0.3">
      <c r="A6" s="15" t="s">
        <v>4</v>
      </c>
      <c r="B6" s="16" t="s">
        <v>5</v>
      </c>
      <c r="C6" s="17"/>
      <c r="D6" s="17"/>
      <c r="E6" s="17"/>
    </row>
    <row r="7" spans="1:5" x14ac:dyDescent="0.3">
      <c r="A7" s="15" t="s">
        <v>6</v>
      </c>
      <c r="B7" s="18">
        <v>50000</v>
      </c>
      <c r="C7" s="17"/>
      <c r="D7" s="17"/>
      <c r="E7" s="17"/>
    </row>
    <row r="8" spans="1:5" x14ac:dyDescent="0.3">
      <c r="A8" s="15" t="s">
        <v>7</v>
      </c>
      <c r="B8" s="18">
        <v>2000</v>
      </c>
      <c r="C8" s="17"/>
      <c r="D8" s="17"/>
      <c r="E8" s="17"/>
    </row>
    <row r="9" spans="1:5" x14ac:dyDescent="0.3">
      <c r="A9" s="15" t="s">
        <v>8</v>
      </c>
      <c r="B9" s="16" t="s">
        <v>9</v>
      </c>
      <c r="C9" s="17"/>
      <c r="D9" s="17"/>
      <c r="E9" s="17"/>
    </row>
    <row r="10" spans="1:5" x14ac:dyDescent="0.3">
      <c r="A10" s="15" t="s">
        <v>10</v>
      </c>
      <c r="B10" s="19">
        <v>0.13900000000000001</v>
      </c>
      <c r="C10" s="17"/>
      <c r="D10" s="17"/>
      <c r="E10" s="17"/>
    </row>
    <row r="11" spans="1:5" x14ac:dyDescent="0.3">
      <c r="A11" s="15" t="s">
        <v>11</v>
      </c>
      <c r="B11" s="19">
        <v>1.17E-2</v>
      </c>
      <c r="C11" s="17"/>
      <c r="D11" s="17"/>
      <c r="E11" s="17"/>
    </row>
    <row r="12" spans="1:5" x14ac:dyDescent="0.3">
      <c r="A12" s="15" t="s">
        <v>12</v>
      </c>
      <c r="B12" s="16" t="s">
        <v>13</v>
      </c>
      <c r="C12" s="17"/>
      <c r="D12" s="17"/>
      <c r="E12" s="17"/>
    </row>
    <row r="13" spans="1:5" x14ac:dyDescent="0.3">
      <c r="A13" s="15" t="s">
        <v>14</v>
      </c>
      <c r="B13" s="16" t="s">
        <v>15</v>
      </c>
      <c r="C13" s="17"/>
      <c r="D13" s="17"/>
      <c r="E13" s="17"/>
    </row>
    <row r="14" spans="1:5" x14ac:dyDescent="0.3">
      <c r="A14" s="2"/>
      <c r="B14" s="3"/>
    </row>
    <row r="15" spans="1:5" x14ac:dyDescent="0.3">
      <c r="A15" s="2"/>
      <c r="B15" s="3"/>
    </row>
    <row r="16" spans="1:5" ht="15" thickBot="1" x14ac:dyDescent="0.35"/>
    <row r="17" spans="1:5" x14ac:dyDescent="0.3">
      <c r="A17" s="21" t="s">
        <v>16</v>
      </c>
      <c r="B17" s="22"/>
      <c r="C17" s="22"/>
      <c r="D17" s="22"/>
      <c r="E17" s="23"/>
    </row>
    <row r="18" spans="1:5" ht="15.6" x14ac:dyDescent="0.3">
      <c r="A18" s="24" t="s">
        <v>399</v>
      </c>
      <c r="B18" s="26"/>
      <c r="C18" s="26"/>
      <c r="D18" s="26"/>
      <c r="E18" s="27"/>
    </row>
    <row r="19" spans="1:5" x14ac:dyDescent="0.3">
      <c r="A19" s="24" t="s">
        <v>400</v>
      </c>
      <c r="B19" s="28"/>
      <c r="C19" s="28"/>
      <c r="D19" s="28"/>
      <c r="E19" s="29"/>
    </row>
    <row r="20" spans="1:5" x14ac:dyDescent="0.3">
      <c r="A20" s="24" t="s">
        <v>401</v>
      </c>
      <c r="B20" s="28"/>
      <c r="C20" s="28"/>
      <c r="D20" s="28"/>
      <c r="E20" s="29"/>
    </row>
    <row r="21" spans="1:5" x14ac:dyDescent="0.3">
      <c r="A21" s="24" t="s">
        <v>402</v>
      </c>
      <c r="B21" s="28"/>
      <c r="C21" s="28"/>
      <c r="D21" s="28"/>
      <c r="E21" s="29"/>
    </row>
    <row r="22" spans="1:5" x14ac:dyDescent="0.3">
      <c r="A22" s="24" t="s">
        <v>403</v>
      </c>
      <c r="B22" s="28"/>
      <c r="C22" s="28"/>
      <c r="D22" s="28"/>
      <c r="E22" s="29"/>
    </row>
    <row r="23" spans="1:5" x14ac:dyDescent="0.3">
      <c r="A23" s="24" t="s">
        <v>404</v>
      </c>
      <c r="B23" s="28"/>
      <c r="C23" s="28"/>
      <c r="D23" s="28"/>
      <c r="E23" s="29"/>
    </row>
    <row r="24" spans="1:5" x14ac:dyDescent="0.3">
      <c r="A24" s="24" t="s">
        <v>405</v>
      </c>
      <c r="B24" s="28"/>
      <c r="C24" s="28"/>
      <c r="D24" s="28"/>
      <c r="E24" s="29"/>
    </row>
    <row r="25" spans="1:5" x14ac:dyDescent="0.3">
      <c r="A25" s="24" t="s">
        <v>406</v>
      </c>
      <c r="B25" s="28"/>
      <c r="C25" s="28"/>
      <c r="D25" s="28"/>
      <c r="E25" s="29"/>
    </row>
    <row r="26" spans="1:5" x14ac:dyDescent="0.3">
      <c r="A26" s="24" t="s">
        <v>407</v>
      </c>
      <c r="B26" s="28"/>
      <c r="C26" s="28"/>
      <c r="D26" s="28"/>
      <c r="E26" s="29"/>
    </row>
    <row r="27" spans="1:5" x14ac:dyDescent="0.3">
      <c r="A27" s="24" t="s">
        <v>408</v>
      </c>
      <c r="B27" s="28"/>
      <c r="C27" s="28"/>
      <c r="D27" s="28"/>
      <c r="E27" s="29"/>
    </row>
    <row r="28" spans="1:5" ht="15" thickBot="1" x14ac:dyDescent="0.35">
      <c r="A28" s="25" t="s">
        <v>398</v>
      </c>
      <c r="B28" s="30"/>
      <c r="C28" s="30"/>
      <c r="D28" s="30"/>
      <c r="E28" s="31"/>
    </row>
  </sheetData>
  <mergeCells count="23">
    <mergeCell ref="A27:E27"/>
    <mergeCell ref="A4:E4"/>
    <mergeCell ref="A17:E17"/>
    <mergeCell ref="B9:E9"/>
    <mergeCell ref="A26:E26"/>
    <mergeCell ref="B6:E6"/>
    <mergeCell ref="A1:E1"/>
    <mergeCell ref="B5:E5"/>
    <mergeCell ref="A18:E18"/>
    <mergeCell ref="B7:E7"/>
    <mergeCell ref="A20:E20"/>
    <mergeCell ref="A28:E28"/>
    <mergeCell ref="A23:E23"/>
    <mergeCell ref="B12:E12"/>
    <mergeCell ref="B11:E11"/>
    <mergeCell ref="A25:E25"/>
    <mergeCell ref="A24:E24"/>
    <mergeCell ref="A19:E19"/>
    <mergeCell ref="B8:E8"/>
    <mergeCell ref="A22:E22"/>
    <mergeCell ref="B13:E13"/>
    <mergeCell ref="A21:E21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workbookViewId="0">
      <selection activeCell="G14" sqref="G14"/>
    </sheetView>
  </sheetViews>
  <sheetFormatPr defaultRowHeight="14.4" x14ac:dyDescent="0.3"/>
  <cols>
    <col min="1" max="1" width="28" customWidth="1"/>
    <col min="2" max="3" width="12" customWidth="1"/>
    <col min="4" max="4" width="40" customWidth="1"/>
  </cols>
  <sheetData>
    <row r="1" spans="1:8" ht="28.05" customHeight="1" x14ac:dyDescent="0.3">
      <c r="A1" s="32" t="s">
        <v>17</v>
      </c>
      <c r="B1" s="32"/>
      <c r="C1" s="32"/>
      <c r="D1" s="32"/>
      <c r="E1" s="32"/>
      <c r="F1" s="32"/>
      <c r="G1" s="32"/>
      <c r="H1" s="32"/>
    </row>
    <row r="3" spans="1:8" x14ac:dyDescent="0.3">
      <c r="A3" s="33" t="s">
        <v>18</v>
      </c>
      <c r="B3" s="33" t="s">
        <v>19</v>
      </c>
      <c r="C3" s="33" t="s">
        <v>20</v>
      </c>
      <c r="D3" s="34" t="s">
        <v>21</v>
      </c>
      <c r="E3" s="34"/>
      <c r="F3" s="34"/>
      <c r="G3" s="34"/>
      <c r="H3" s="34"/>
    </row>
    <row r="4" spans="1:8" x14ac:dyDescent="0.3">
      <c r="A4" s="35" t="s">
        <v>22</v>
      </c>
      <c r="B4" s="35">
        <v>50000</v>
      </c>
      <c r="C4" s="35">
        <v>24</v>
      </c>
      <c r="D4" s="36" t="s">
        <v>23</v>
      </c>
      <c r="E4" s="36"/>
      <c r="F4" s="36"/>
      <c r="G4" s="36"/>
      <c r="H4" s="36"/>
    </row>
    <row r="5" spans="1:8" x14ac:dyDescent="0.3">
      <c r="A5" s="37" t="s">
        <v>24</v>
      </c>
      <c r="B5" s="37">
        <v>60</v>
      </c>
      <c r="C5" s="37">
        <v>16</v>
      </c>
      <c r="D5" s="38" t="s">
        <v>25</v>
      </c>
      <c r="E5" s="38"/>
      <c r="F5" s="38"/>
      <c r="G5" s="38"/>
      <c r="H5" s="38"/>
    </row>
    <row r="6" spans="1:8" x14ac:dyDescent="0.3">
      <c r="A6" s="35" t="s">
        <v>26</v>
      </c>
      <c r="B6" s="35">
        <v>120</v>
      </c>
      <c r="C6" s="35">
        <v>16</v>
      </c>
      <c r="D6" s="36" t="s">
        <v>27</v>
      </c>
      <c r="E6" s="36"/>
      <c r="F6" s="36"/>
      <c r="G6" s="36"/>
      <c r="H6" s="36"/>
    </row>
    <row r="7" spans="1:8" x14ac:dyDescent="0.3">
      <c r="A7" s="37" t="s">
        <v>28</v>
      </c>
      <c r="B7" s="37">
        <v>2160</v>
      </c>
      <c r="C7" s="37">
        <v>9</v>
      </c>
      <c r="D7" s="38" t="s">
        <v>29</v>
      </c>
      <c r="E7" s="38"/>
      <c r="F7" s="38"/>
      <c r="G7" s="38"/>
      <c r="H7" s="38"/>
    </row>
    <row r="8" spans="1:8" x14ac:dyDescent="0.3">
      <c r="A8" s="35" t="s">
        <v>30</v>
      </c>
      <c r="B8" s="35">
        <v>17939</v>
      </c>
      <c r="C8" s="35">
        <v>9</v>
      </c>
      <c r="D8" s="36" t="s">
        <v>31</v>
      </c>
      <c r="E8" s="36"/>
      <c r="F8" s="36"/>
      <c r="G8" s="36"/>
      <c r="H8" s="36"/>
    </row>
  </sheetData>
  <mergeCells count="7">
    <mergeCell ref="D6:H6"/>
    <mergeCell ref="D7:H7"/>
    <mergeCell ref="D8:H8"/>
    <mergeCell ref="D3:H3"/>
    <mergeCell ref="A1:H1"/>
    <mergeCell ref="D4:H4"/>
    <mergeCell ref="D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showGridLines="0" topLeftCell="A11" zoomScale="78" workbookViewId="0">
      <selection activeCell="D42" sqref="D42"/>
    </sheetView>
  </sheetViews>
  <sheetFormatPr defaultRowHeight="14.4" x14ac:dyDescent="0.3"/>
  <cols>
    <col min="1" max="1" width="23.88671875" customWidth="1"/>
    <col min="2" max="2" width="40.6640625" customWidth="1"/>
    <col min="3" max="3" width="20.77734375" customWidth="1"/>
    <col min="4" max="4" width="96" customWidth="1"/>
    <col min="5" max="5" width="12" customWidth="1"/>
  </cols>
  <sheetData>
    <row r="1" spans="1:5" ht="28.05" customHeight="1" x14ac:dyDescent="0.3">
      <c r="A1" s="14" t="s">
        <v>32</v>
      </c>
      <c r="B1" s="13"/>
      <c r="C1" s="13"/>
      <c r="D1" s="13"/>
      <c r="E1" s="13"/>
    </row>
    <row r="3" spans="1:5" x14ac:dyDescent="0.3">
      <c r="A3" s="1" t="s">
        <v>33</v>
      </c>
    </row>
    <row r="4" spans="1:5" ht="26.4" x14ac:dyDescent="0.3">
      <c r="A4" s="4" t="s">
        <v>34</v>
      </c>
      <c r="B4" s="4" t="s">
        <v>35</v>
      </c>
      <c r="C4" s="4" t="s">
        <v>36</v>
      </c>
      <c r="D4" s="4" t="s">
        <v>37</v>
      </c>
    </row>
    <row r="5" spans="1:5" x14ac:dyDescent="0.3">
      <c r="A5" s="5" t="s">
        <v>38</v>
      </c>
      <c r="B5" s="5" t="s">
        <v>39</v>
      </c>
      <c r="C5" s="5" t="s">
        <v>40</v>
      </c>
      <c r="D5" s="5" t="s">
        <v>41</v>
      </c>
    </row>
    <row r="6" spans="1:5" x14ac:dyDescent="0.3">
      <c r="A6" s="6" t="s">
        <v>38</v>
      </c>
      <c r="B6" s="6" t="s">
        <v>42</v>
      </c>
      <c r="C6" s="39">
        <v>0</v>
      </c>
      <c r="D6" s="6" t="s">
        <v>43</v>
      </c>
    </row>
    <row r="7" spans="1:5" x14ac:dyDescent="0.3">
      <c r="A7" s="5" t="s">
        <v>44</v>
      </c>
      <c r="B7" s="5" t="s">
        <v>45</v>
      </c>
      <c r="C7" s="40">
        <v>0</v>
      </c>
      <c r="D7" s="5" t="s">
        <v>46</v>
      </c>
    </row>
    <row r="8" spans="1:5" x14ac:dyDescent="0.3">
      <c r="A8" s="6" t="s">
        <v>47</v>
      </c>
      <c r="B8" s="6" t="s">
        <v>45</v>
      </c>
      <c r="C8" s="41">
        <v>0</v>
      </c>
      <c r="D8" s="6" t="s">
        <v>46</v>
      </c>
    </row>
    <row r="9" spans="1:5" x14ac:dyDescent="0.3">
      <c r="A9" s="5" t="s">
        <v>48</v>
      </c>
      <c r="B9" s="5" t="s">
        <v>45</v>
      </c>
      <c r="C9" s="40">
        <v>0</v>
      </c>
      <c r="D9" s="5" t="s">
        <v>46</v>
      </c>
    </row>
    <row r="10" spans="1:5" x14ac:dyDescent="0.3">
      <c r="A10" s="6" t="s">
        <v>49</v>
      </c>
      <c r="B10" s="6" t="s">
        <v>45</v>
      </c>
      <c r="C10" s="41">
        <v>0</v>
      </c>
      <c r="D10" s="6" t="s">
        <v>46</v>
      </c>
    </row>
    <row r="13" spans="1:5" x14ac:dyDescent="0.3">
      <c r="A13" s="1" t="s">
        <v>50</v>
      </c>
    </row>
    <row r="14" spans="1:5" x14ac:dyDescent="0.3">
      <c r="A14" s="4" t="s">
        <v>34</v>
      </c>
      <c r="B14" s="4" t="s">
        <v>51</v>
      </c>
      <c r="C14" s="4" t="s">
        <v>37</v>
      </c>
    </row>
    <row r="15" spans="1:5" x14ac:dyDescent="0.3">
      <c r="A15" s="5" t="s">
        <v>38</v>
      </c>
      <c r="B15" s="5">
        <v>0</v>
      </c>
      <c r="C15" s="5" t="s">
        <v>52</v>
      </c>
    </row>
    <row r="16" spans="1:5" x14ac:dyDescent="0.3">
      <c r="A16" s="6" t="s">
        <v>44</v>
      </c>
      <c r="B16" s="6">
        <v>0</v>
      </c>
      <c r="C16" s="6" t="s">
        <v>53</v>
      </c>
    </row>
    <row r="17" spans="1:5" x14ac:dyDescent="0.3">
      <c r="A17" s="5" t="s">
        <v>47</v>
      </c>
      <c r="B17" s="5">
        <v>0</v>
      </c>
      <c r="C17" s="5" t="s">
        <v>54</v>
      </c>
    </row>
    <row r="18" spans="1:5" x14ac:dyDescent="0.3">
      <c r="A18" s="6" t="s">
        <v>48</v>
      </c>
      <c r="B18" s="6">
        <v>0</v>
      </c>
      <c r="C18" s="6" t="s">
        <v>55</v>
      </c>
    </row>
    <row r="19" spans="1:5" x14ac:dyDescent="0.3">
      <c r="A19" s="5" t="s">
        <v>49</v>
      </c>
      <c r="B19" s="5">
        <v>0</v>
      </c>
      <c r="C19" s="5" t="s">
        <v>56</v>
      </c>
    </row>
    <row r="22" spans="1:5" x14ac:dyDescent="0.3">
      <c r="A22" s="1" t="s">
        <v>57</v>
      </c>
    </row>
    <row r="23" spans="1:5" x14ac:dyDescent="0.3">
      <c r="A23" s="4" t="s">
        <v>58</v>
      </c>
      <c r="B23" s="4" t="s">
        <v>59</v>
      </c>
      <c r="C23" s="4" t="s">
        <v>60</v>
      </c>
      <c r="D23" s="4" t="s">
        <v>61</v>
      </c>
    </row>
    <row r="24" spans="1:5" x14ac:dyDescent="0.3">
      <c r="A24" s="5" t="s">
        <v>38</v>
      </c>
      <c r="B24" s="5" t="s">
        <v>62</v>
      </c>
      <c r="C24" s="5" t="s">
        <v>63</v>
      </c>
      <c r="D24" s="5" t="s">
        <v>64</v>
      </c>
    </row>
    <row r="25" spans="1:5" x14ac:dyDescent="0.3">
      <c r="A25" s="6" t="s">
        <v>38</v>
      </c>
      <c r="B25" s="6" t="s">
        <v>65</v>
      </c>
      <c r="C25" s="6" t="s">
        <v>66</v>
      </c>
      <c r="D25" s="6" t="s">
        <v>67</v>
      </c>
    </row>
    <row r="26" spans="1:5" x14ac:dyDescent="0.3">
      <c r="A26" s="5" t="s">
        <v>68</v>
      </c>
      <c r="B26" s="5" t="s">
        <v>69</v>
      </c>
      <c r="C26" s="5" t="s">
        <v>70</v>
      </c>
      <c r="D26" s="5" t="s">
        <v>71</v>
      </c>
    </row>
    <row r="29" spans="1:5" x14ac:dyDescent="0.3">
      <c r="A29" s="1" t="s">
        <v>72</v>
      </c>
    </row>
    <row r="30" spans="1:5" x14ac:dyDescent="0.3">
      <c r="A30" s="4" t="s">
        <v>73</v>
      </c>
      <c r="B30" s="4" t="s">
        <v>74</v>
      </c>
      <c r="C30" s="4" t="s">
        <v>75</v>
      </c>
      <c r="D30" s="4" t="s">
        <v>76</v>
      </c>
      <c r="E30" s="4" t="s">
        <v>77</v>
      </c>
    </row>
    <row r="31" spans="1:5" x14ac:dyDescent="0.3">
      <c r="A31" s="5" t="s">
        <v>78</v>
      </c>
      <c r="B31" s="5">
        <v>-3767487.7288000002</v>
      </c>
      <c r="C31" s="5">
        <v>7741195.5613000002</v>
      </c>
      <c r="D31" s="5">
        <v>5022</v>
      </c>
      <c r="E31" s="7">
        <v>10.039999999999999</v>
      </c>
    </row>
    <row r="32" spans="1:5" x14ac:dyDescent="0.3">
      <c r="A32" s="6" t="s">
        <v>79</v>
      </c>
      <c r="B32" s="6">
        <v>-2.07E-2</v>
      </c>
      <c r="C32" s="6">
        <v>3.78E-2</v>
      </c>
      <c r="D32" s="6">
        <v>11928</v>
      </c>
      <c r="E32" s="8">
        <v>23.86</v>
      </c>
    </row>
    <row r="33" spans="1:5" x14ac:dyDescent="0.3">
      <c r="A33" s="5" t="s">
        <v>80</v>
      </c>
      <c r="B33" s="5">
        <v>0.13689999999999999</v>
      </c>
      <c r="C33" s="5">
        <v>0.9526</v>
      </c>
      <c r="D33" s="5">
        <v>86</v>
      </c>
      <c r="E33" s="7">
        <v>0.17</v>
      </c>
    </row>
    <row r="34" spans="1:5" x14ac:dyDescent="0.3">
      <c r="A34" s="6" t="s">
        <v>81</v>
      </c>
      <c r="B34" s="6">
        <v>-3.4550000000000001</v>
      </c>
      <c r="C34" s="6">
        <v>16.585000000000001</v>
      </c>
      <c r="D34" s="6">
        <v>0</v>
      </c>
      <c r="E34" s="8">
        <v>0</v>
      </c>
    </row>
    <row r="35" spans="1:5" x14ac:dyDescent="0.3">
      <c r="A35" s="5" t="s">
        <v>82</v>
      </c>
      <c r="B35" s="5">
        <v>-1.05</v>
      </c>
      <c r="C35" s="5">
        <v>8.07</v>
      </c>
      <c r="D35" s="5">
        <v>1928</v>
      </c>
      <c r="E35" s="7">
        <v>3.86</v>
      </c>
    </row>
    <row r="36" spans="1:5" x14ac:dyDescent="0.3">
      <c r="A36" s="6" t="s">
        <v>83</v>
      </c>
      <c r="B36" s="6">
        <v>-1.385</v>
      </c>
      <c r="C36" s="6">
        <v>5.0549999999999997</v>
      </c>
      <c r="D36" s="6">
        <v>2719</v>
      </c>
      <c r="E36" s="8">
        <v>5.44</v>
      </c>
    </row>
    <row r="37" spans="1:5" x14ac:dyDescent="0.3">
      <c r="A37" s="5" t="s">
        <v>84</v>
      </c>
      <c r="B37" s="5">
        <v>572.5</v>
      </c>
      <c r="C37" s="5">
        <v>856.5</v>
      </c>
      <c r="D37" s="5">
        <v>78</v>
      </c>
      <c r="E37" s="7">
        <v>0.16</v>
      </c>
    </row>
    <row r="38" spans="1:5" x14ac:dyDescent="0.3">
      <c r="A38" s="6" t="s">
        <v>85</v>
      </c>
      <c r="B38" s="6">
        <v>0.28999999999999998</v>
      </c>
      <c r="C38" s="6">
        <v>5.8019999999999996</v>
      </c>
      <c r="D38" s="6">
        <v>465</v>
      </c>
      <c r="E38" s="8">
        <v>0.93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9"/>
  <sheetViews>
    <sheetView showGridLines="0" tabSelected="1" topLeftCell="A3" workbookViewId="0">
      <selection sqref="A1:I1"/>
    </sheetView>
  </sheetViews>
  <sheetFormatPr defaultRowHeight="14.4" x14ac:dyDescent="0.3"/>
  <cols>
    <col min="1" max="1" width="19" customWidth="1"/>
    <col min="2" max="2" width="14" customWidth="1"/>
    <col min="3" max="5" width="12" customWidth="1"/>
    <col min="6" max="6" width="19" customWidth="1"/>
    <col min="7" max="7" width="16" customWidth="1"/>
    <col min="8" max="8" width="13" customWidth="1"/>
    <col min="9" max="12" width="12" customWidth="1"/>
  </cols>
  <sheetData>
    <row r="1" spans="1:9" ht="28.05" customHeight="1" x14ac:dyDescent="0.3">
      <c r="A1" s="14" t="s">
        <v>86</v>
      </c>
      <c r="B1" s="13"/>
      <c r="C1" s="13"/>
      <c r="D1" s="13"/>
      <c r="E1" s="13"/>
      <c r="F1" s="13"/>
      <c r="G1" s="13"/>
      <c r="H1" s="13"/>
      <c r="I1" s="13"/>
    </row>
    <row r="3" spans="1:9" x14ac:dyDescent="0.3">
      <c r="A3" s="1" t="s">
        <v>87</v>
      </c>
    </row>
    <row r="4" spans="1:9" x14ac:dyDescent="0.3">
      <c r="A4" s="4" t="s">
        <v>73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</row>
    <row r="5" spans="1:9" x14ac:dyDescent="0.3">
      <c r="A5" s="5" t="s">
        <v>96</v>
      </c>
      <c r="B5" s="5">
        <v>50000</v>
      </c>
      <c r="C5" s="5">
        <v>53.970500000000001</v>
      </c>
      <c r="D5" s="5">
        <v>26.7163</v>
      </c>
      <c r="E5" s="5">
        <v>12</v>
      </c>
      <c r="F5" s="5">
        <v>36</v>
      </c>
      <c r="G5" s="5">
        <v>48</v>
      </c>
      <c r="H5" s="5">
        <v>60</v>
      </c>
      <c r="I5" s="5">
        <v>120</v>
      </c>
    </row>
    <row r="6" spans="1:9" x14ac:dyDescent="0.3">
      <c r="A6" s="6" t="s">
        <v>84</v>
      </c>
      <c r="B6" s="6">
        <v>50000</v>
      </c>
      <c r="C6" s="6">
        <v>714.98260000000005</v>
      </c>
      <c r="D6" s="6">
        <v>50.8934</v>
      </c>
      <c r="E6" s="6">
        <v>518</v>
      </c>
      <c r="F6" s="6">
        <v>679</v>
      </c>
      <c r="G6" s="6">
        <v>715</v>
      </c>
      <c r="H6" s="6">
        <v>750</v>
      </c>
      <c r="I6" s="6">
        <v>850</v>
      </c>
    </row>
    <row r="7" spans="1:9" x14ac:dyDescent="0.3">
      <c r="A7" s="5" t="s">
        <v>78</v>
      </c>
      <c r="B7" s="5">
        <v>50000</v>
      </c>
      <c r="C7" s="5">
        <v>3298604.6746</v>
      </c>
      <c r="D7" s="5">
        <v>6661943.3573000003</v>
      </c>
      <c r="E7" s="5">
        <v>50000</v>
      </c>
      <c r="F7" s="5">
        <v>548268.505</v>
      </c>
      <c r="G7" s="5">
        <v>1389712.0149999999</v>
      </c>
      <c r="H7" s="5">
        <v>3425439.3275000001</v>
      </c>
      <c r="I7" s="5">
        <v>361177782.69999999</v>
      </c>
    </row>
    <row r="8" spans="1:9" x14ac:dyDescent="0.3">
      <c r="A8" s="6" t="s">
        <v>85</v>
      </c>
      <c r="B8" s="6">
        <v>50000</v>
      </c>
      <c r="C8" s="6">
        <v>3.0790999999999999</v>
      </c>
      <c r="D8" s="6">
        <v>1.1035999999999999</v>
      </c>
      <c r="E8" s="6">
        <v>1</v>
      </c>
      <c r="F8" s="6">
        <v>2.3570000000000002</v>
      </c>
      <c r="G8" s="6">
        <v>3.0634999999999999</v>
      </c>
      <c r="H8" s="6">
        <v>3.7349999999999999</v>
      </c>
      <c r="I8" s="6">
        <v>7.5309999999999997</v>
      </c>
    </row>
    <row r="9" spans="1:9" x14ac:dyDescent="0.3">
      <c r="A9" s="5" t="s">
        <v>81</v>
      </c>
      <c r="B9" s="5">
        <v>50000</v>
      </c>
      <c r="C9" s="5">
        <v>6.9138000000000002</v>
      </c>
      <c r="D9" s="5">
        <v>3.6863999999999999</v>
      </c>
      <c r="E9" s="5">
        <v>0.5</v>
      </c>
      <c r="F9" s="5">
        <v>4.0599999999999996</v>
      </c>
      <c r="G9" s="5">
        <v>6.08</v>
      </c>
      <c r="H9" s="5">
        <v>9.07</v>
      </c>
      <c r="I9" s="5">
        <v>15</v>
      </c>
    </row>
    <row r="10" spans="1:9" x14ac:dyDescent="0.3">
      <c r="A10" s="6" t="s">
        <v>82</v>
      </c>
      <c r="B10" s="6">
        <v>50000</v>
      </c>
      <c r="C10" s="6">
        <v>3.7641</v>
      </c>
      <c r="D10" s="6">
        <v>2.0139999999999998</v>
      </c>
      <c r="E10" s="6">
        <v>0.5</v>
      </c>
      <c r="F10" s="6">
        <v>2.37</v>
      </c>
      <c r="G10" s="6">
        <v>3.31</v>
      </c>
      <c r="H10" s="6">
        <v>4.6500000000000004</v>
      </c>
      <c r="I10" s="6">
        <v>20</v>
      </c>
    </row>
    <row r="11" spans="1:9" x14ac:dyDescent="0.3">
      <c r="A11" s="5" t="s">
        <v>83</v>
      </c>
      <c r="B11" s="5">
        <v>50000</v>
      </c>
      <c r="C11" s="5">
        <v>2.0909</v>
      </c>
      <c r="D11" s="5">
        <v>1.5701000000000001</v>
      </c>
      <c r="E11" s="5">
        <v>0.1</v>
      </c>
      <c r="F11" s="5">
        <v>1.03</v>
      </c>
      <c r="G11" s="5">
        <v>1.65</v>
      </c>
      <c r="H11" s="5">
        <v>2.64</v>
      </c>
      <c r="I11" s="5">
        <v>10</v>
      </c>
    </row>
    <row r="12" spans="1:9" x14ac:dyDescent="0.3">
      <c r="A12" s="6" t="s">
        <v>79</v>
      </c>
      <c r="B12" s="6">
        <v>50000</v>
      </c>
      <c r="C12" s="6">
        <v>2.2499999999999999E-2</v>
      </c>
      <c r="D12" s="6">
        <v>4.0399999999999998E-2</v>
      </c>
      <c r="E12" s="6">
        <v>2.0000000000000001E-4</v>
      </c>
      <c r="F12" s="6">
        <v>1.1999999999999999E-3</v>
      </c>
      <c r="G12" s="6">
        <v>2.8E-3</v>
      </c>
      <c r="H12" s="6">
        <v>1.5900000000000001E-2</v>
      </c>
      <c r="I12" s="6">
        <v>0.24249999999999999</v>
      </c>
    </row>
    <row r="13" spans="1:9" x14ac:dyDescent="0.3">
      <c r="A13" s="5" t="s">
        <v>80</v>
      </c>
      <c r="B13" s="5">
        <v>50000</v>
      </c>
      <c r="C13" s="5">
        <v>0.54649999999999999</v>
      </c>
      <c r="D13" s="5">
        <v>0.14430000000000001</v>
      </c>
      <c r="E13" s="5">
        <v>9.1800000000000007E-2</v>
      </c>
      <c r="F13" s="5">
        <v>0.44280000000000003</v>
      </c>
      <c r="G13" s="5">
        <v>0.54479999999999995</v>
      </c>
      <c r="H13" s="5">
        <v>0.64670000000000005</v>
      </c>
      <c r="I13" s="5">
        <v>0.98</v>
      </c>
    </row>
    <row r="14" spans="1:9" x14ac:dyDescent="0.3">
      <c r="A14" s="6" t="s">
        <v>97</v>
      </c>
      <c r="B14" s="6">
        <v>50000</v>
      </c>
      <c r="C14" s="6">
        <v>38475.721100000002</v>
      </c>
      <c r="D14" s="6">
        <v>159080.0796</v>
      </c>
      <c r="E14" s="6">
        <v>3.6</v>
      </c>
      <c r="F14" s="6">
        <v>787.53</v>
      </c>
      <c r="G14" s="6">
        <v>3587.83</v>
      </c>
      <c r="H14" s="6">
        <v>18560.52</v>
      </c>
      <c r="I14" s="6">
        <v>6411410.04</v>
      </c>
    </row>
    <row r="15" spans="1:9" x14ac:dyDescent="0.3">
      <c r="A15" s="5" t="s">
        <v>98</v>
      </c>
      <c r="B15" s="5">
        <v>50000</v>
      </c>
      <c r="C15" s="5">
        <v>181560.5349</v>
      </c>
      <c r="D15" s="5">
        <v>496695.3517</v>
      </c>
      <c r="E15" s="5">
        <v>273.52999999999997</v>
      </c>
      <c r="F15" s="5">
        <v>17207.455000000002</v>
      </c>
      <c r="G15" s="5">
        <v>52059.934999999998</v>
      </c>
      <c r="H15" s="5">
        <v>155943.005</v>
      </c>
      <c r="I15" s="5">
        <v>22392122.739999998</v>
      </c>
    </row>
    <row r="16" spans="1:9" x14ac:dyDescent="0.3">
      <c r="A16" s="6" t="s">
        <v>99</v>
      </c>
      <c r="B16" s="6">
        <v>50000</v>
      </c>
      <c r="C16" s="6">
        <v>509803.30450000003</v>
      </c>
      <c r="D16" s="6">
        <v>2107811.0548999999</v>
      </c>
      <c r="E16" s="6">
        <v>47.65</v>
      </c>
      <c r="F16" s="6">
        <v>10434.815000000001</v>
      </c>
      <c r="G16" s="6">
        <v>47538.745000000003</v>
      </c>
      <c r="H16" s="6">
        <v>245926.91</v>
      </c>
      <c r="I16" s="6">
        <v>84951183.010000005</v>
      </c>
    </row>
    <row r="19" spans="1:8" x14ac:dyDescent="0.3">
      <c r="A19" s="1" t="s">
        <v>100</v>
      </c>
      <c r="D19" s="1" t="s">
        <v>101</v>
      </c>
      <c r="G19" s="1" t="s">
        <v>102</v>
      </c>
    </row>
    <row r="20" spans="1:8" x14ac:dyDescent="0.3">
      <c r="A20" s="4" t="s">
        <v>103</v>
      </c>
      <c r="B20" s="4" t="s">
        <v>104</v>
      </c>
      <c r="D20" s="4" t="s">
        <v>105</v>
      </c>
      <c r="E20" s="4" t="s">
        <v>106</v>
      </c>
      <c r="G20" s="4" t="s">
        <v>107</v>
      </c>
      <c r="H20" s="4" t="s">
        <v>106</v>
      </c>
    </row>
    <row r="21" spans="1:8" x14ac:dyDescent="0.3">
      <c r="A21" s="5" t="s">
        <v>108</v>
      </c>
      <c r="B21" s="5">
        <v>5132</v>
      </c>
      <c r="D21" s="5" t="s">
        <v>109</v>
      </c>
      <c r="E21" s="5">
        <v>17594</v>
      </c>
      <c r="G21" s="5" t="s">
        <v>110</v>
      </c>
      <c r="H21" s="5">
        <v>1529</v>
      </c>
    </row>
    <row r="22" spans="1:8" x14ac:dyDescent="0.3">
      <c r="A22" s="6" t="s">
        <v>111</v>
      </c>
      <c r="B22" s="6">
        <v>5077</v>
      </c>
      <c r="D22" s="6" t="s">
        <v>112</v>
      </c>
      <c r="E22" s="6">
        <v>12262</v>
      </c>
      <c r="G22" s="6" t="s">
        <v>113</v>
      </c>
      <c r="H22" s="6">
        <v>3944</v>
      </c>
    </row>
    <row r="23" spans="1:8" x14ac:dyDescent="0.3">
      <c r="A23" s="5" t="s">
        <v>114</v>
      </c>
      <c r="B23" s="5">
        <v>5043</v>
      </c>
      <c r="D23" s="5" t="s">
        <v>115</v>
      </c>
      <c r="E23" s="5">
        <v>10158</v>
      </c>
      <c r="G23" s="5" t="s">
        <v>116</v>
      </c>
      <c r="H23" s="5">
        <v>7571</v>
      </c>
    </row>
    <row r="24" spans="1:8" x14ac:dyDescent="0.3">
      <c r="A24" s="6" t="s">
        <v>117</v>
      </c>
      <c r="B24" s="6">
        <v>5023</v>
      </c>
      <c r="D24" s="6" t="s">
        <v>118</v>
      </c>
      <c r="E24" s="6">
        <v>7458</v>
      </c>
      <c r="G24" s="6" t="s">
        <v>119</v>
      </c>
      <c r="H24" s="6">
        <v>14001</v>
      </c>
    </row>
    <row r="25" spans="1:8" x14ac:dyDescent="0.3">
      <c r="A25" s="5" t="s">
        <v>120</v>
      </c>
      <c r="B25" s="5">
        <v>5012</v>
      </c>
      <c r="D25" s="5" t="s">
        <v>121</v>
      </c>
      <c r="E25" s="5">
        <v>2528</v>
      </c>
      <c r="G25" s="5" t="s">
        <v>122</v>
      </c>
      <c r="H25" s="5">
        <v>10918</v>
      </c>
    </row>
    <row r="26" spans="1:8" x14ac:dyDescent="0.3">
      <c r="A26" s="6" t="s">
        <v>123</v>
      </c>
      <c r="B26" s="6">
        <v>4982</v>
      </c>
      <c r="G26" s="6" t="s">
        <v>124</v>
      </c>
      <c r="H26" s="6">
        <v>7559</v>
      </c>
    </row>
    <row r="27" spans="1:8" x14ac:dyDescent="0.3">
      <c r="A27" s="5" t="s">
        <v>125</v>
      </c>
      <c r="B27" s="5">
        <v>4959</v>
      </c>
      <c r="G27" s="5" t="s">
        <v>126</v>
      </c>
      <c r="H27" s="5">
        <v>4478</v>
      </c>
    </row>
    <row r="28" spans="1:8" x14ac:dyDescent="0.3">
      <c r="A28" s="6" t="s">
        <v>127</v>
      </c>
      <c r="B28" s="6">
        <v>4959</v>
      </c>
    </row>
    <row r="29" spans="1:8" x14ac:dyDescent="0.3">
      <c r="A29" s="5" t="s">
        <v>128</v>
      </c>
      <c r="B29" s="5">
        <v>4951</v>
      </c>
    </row>
    <row r="30" spans="1:8" x14ac:dyDescent="0.3">
      <c r="A30" s="6" t="s">
        <v>129</v>
      </c>
      <c r="B30" s="6">
        <v>4862</v>
      </c>
    </row>
    <row r="33" spans="1:3" x14ac:dyDescent="0.3">
      <c r="A33" s="1" t="s">
        <v>130</v>
      </c>
    </row>
    <row r="34" spans="1:3" x14ac:dyDescent="0.3">
      <c r="A34" s="4" t="s">
        <v>107</v>
      </c>
      <c r="B34" s="4" t="s">
        <v>131</v>
      </c>
      <c r="C34" s="4" t="s">
        <v>104</v>
      </c>
    </row>
    <row r="35" spans="1:3" x14ac:dyDescent="0.3">
      <c r="A35" s="5" t="s">
        <v>110</v>
      </c>
      <c r="B35" s="7">
        <v>5.2321778940483968E-2</v>
      </c>
      <c r="C35" s="5">
        <v>1529</v>
      </c>
    </row>
    <row r="36" spans="1:3" x14ac:dyDescent="0.3">
      <c r="A36" s="6" t="s">
        <v>113</v>
      </c>
      <c r="B36" s="8">
        <v>6.3894523326572014E-2</v>
      </c>
      <c r="C36" s="6">
        <v>3944</v>
      </c>
    </row>
    <row r="37" spans="1:3" x14ac:dyDescent="0.3">
      <c r="A37" s="5" t="s">
        <v>116</v>
      </c>
      <c r="B37" s="7">
        <v>6.3928146876238282E-2</v>
      </c>
      <c r="C37" s="5">
        <v>7571</v>
      </c>
    </row>
    <row r="38" spans="1:3" x14ac:dyDescent="0.3">
      <c r="A38" s="6" t="s">
        <v>119</v>
      </c>
      <c r="B38" s="8">
        <v>7.0423541175630308E-2</v>
      </c>
      <c r="C38" s="6">
        <v>14001</v>
      </c>
    </row>
    <row r="39" spans="1:3" x14ac:dyDescent="0.3">
      <c r="A39" s="5" t="s">
        <v>122</v>
      </c>
      <c r="B39" s="7">
        <v>0.1117420773035354</v>
      </c>
      <c r="C39" s="5">
        <v>10918</v>
      </c>
    </row>
    <row r="40" spans="1:3" x14ac:dyDescent="0.3">
      <c r="A40" s="6" t="s">
        <v>124</v>
      </c>
      <c r="B40" s="8">
        <v>0.21828284164572029</v>
      </c>
      <c r="C40" s="6">
        <v>7559</v>
      </c>
    </row>
    <row r="41" spans="1:3" x14ac:dyDescent="0.3">
      <c r="A41" s="5" t="s">
        <v>126</v>
      </c>
      <c r="B41" s="7">
        <v>0.50870924519874949</v>
      </c>
      <c r="C41" s="5">
        <v>4478</v>
      </c>
    </row>
    <row r="44" spans="1:3" x14ac:dyDescent="0.3">
      <c r="A44" s="1" t="s">
        <v>132</v>
      </c>
    </row>
    <row r="45" spans="1:3" x14ac:dyDescent="0.3">
      <c r="A45" s="4" t="s">
        <v>103</v>
      </c>
      <c r="B45" s="4" t="s">
        <v>131</v>
      </c>
      <c r="C45" s="4" t="s">
        <v>104</v>
      </c>
    </row>
    <row r="46" spans="1:3" x14ac:dyDescent="0.3">
      <c r="A46" s="5" t="s">
        <v>117</v>
      </c>
      <c r="B46" s="7">
        <v>0.1475214015528569</v>
      </c>
      <c r="C46" s="5">
        <v>5023</v>
      </c>
    </row>
    <row r="47" spans="1:3" x14ac:dyDescent="0.3">
      <c r="A47" s="6" t="s">
        <v>108</v>
      </c>
      <c r="B47" s="8">
        <v>0.1445830085736555</v>
      </c>
      <c r="C47" s="6">
        <v>5132</v>
      </c>
    </row>
    <row r="48" spans="1:3" x14ac:dyDescent="0.3">
      <c r="A48" s="5" t="s">
        <v>120</v>
      </c>
      <c r="B48" s="7">
        <v>0.14405426975259381</v>
      </c>
      <c r="C48" s="5">
        <v>5012</v>
      </c>
    </row>
    <row r="49" spans="1:3" x14ac:dyDescent="0.3">
      <c r="A49" s="6" t="s">
        <v>128</v>
      </c>
      <c r="B49" s="8">
        <v>0.14057766107857</v>
      </c>
      <c r="C49" s="6">
        <v>4951</v>
      </c>
    </row>
    <row r="50" spans="1:3" x14ac:dyDescent="0.3">
      <c r="A50" s="5" t="s">
        <v>129</v>
      </c>
      <c r="B50" s="7">
        <v>0.13944878650761</v>
      </c>
      <c r="C50" s="5">
        <v>4862</v>
      </c>
    </row>
    <row r="51" spans="1:3" x14ac:dyDescent="0.3">
      <c r="A51" s="6" t="s">
        <v>114</v>
      </c>
      <c r="B51" s="8">
        <v>0.13702161411858019</v>
      </c>
      <c r="C51" s="6">
        <v>5043</v>
      </c>
    </row>
    <row r="52" spans="1:3" x14ac:dyDescent="0.3">
      <c r="A52" s="5" t="s">
        <v>125</v>
      </c>
      <c r="B52" s="7">
        <v>0.13631780600927609</v>
      </c>
      <c r="C52" s="5">
        <v>4959</v>
      </c>
    </row>
    <row r="53" spans="1:3" x14ac:dyDescent="0.3">
      <c r="A53" s="6" t="s">
        <v>111</v>
      </c>
      <c r="B53" s="8">
        <v>0.13492219814851289</v>
      </c>
      <c r="C53" s="6">
        <v>5077</v>
      </c>
    </row>
    <row r="54" spans="1:3" x14ac:dyDescent="0.3">
      <c r="A54" s="5" t="s">
        <v>127</v>
      </c>
      <c r="B54" s="7">
        <v>0.1334946561806816</v>
      </c>
      <c r="C54" s="5">
        <v>4959</v>
      </c>
    </row>
    <row r="55" spans="1:3" x14ac:dyDescent="0.3">
      <c r="A55" s="6" t="s">
        <v>123</v>
      </c>
      <c r="B55" s="8">
        <v>0.13187474909674829</v>
      </c>
      <c r="C55" s="6">
        <v>4982</v>
      </c>
    </row>
    <row r="58" spans="1:3" x14ac:dyDescent="0.3">
      <c r="A58" s="1" t="s">
        <v>133</v>
      </c>
    </row>
    <row r="59" spans="1:3" x14ac:dyDescent="0.3">
      <c r="A59" s="4" t="s">
        <v>105</v>
      </c>
      <c r="B59" s="4" t="s">
        <v>131</v>
      </c>
      <c r="C59" s="4" t="s">
        <v>104</v>
      </c>
    </row>
    <row r="60" spans="1:3" x14ac:dyDescent="0.3">
      <c r="A60" s="5" t="s">
        <v>121</v>
      </c>
      <c r="B60" s="7">
        <v>0.14754746835443039</v>
      </c>
      <c r="C60" s="5">
        <v>2528</v>
      </c>
    </row>
    <row r="61" spans="1:3" x14ac:dyDescent="0.3">
      <c r="A61" s="6" t="s">
        <v>112</v>
      </c>
      <c r="B61" s="8">
        <v>0.14271733811776219</v>
      </c>
      <c r="C61" s="6">
        <v>12262</v>
      </c>
    </row>
    <row r="62" spans="1:3" x14ac:dyDescent="0.3">
      <c r="A62" s="5" t="s">
        <v>109</v>
      </c>
      <c r="B62" s="7">
        <v>0.13925201773331819</v>
      </c>
      <c r="C62" s="5">
        <v>17594</v>
      </c>
    </row>
    <row r="63" spans="1:3" x14ac:dyDescent="0.3">
      <c r="A63" s="6" t="s">
        <v>115</v>
      </c>
      <c r="B63" s="8">
        <v>0.13910218546958061</v>
      </c>
      <c r="C63" s="6">
        <v>10158</v>
      </c>
    </row>
    <row r="64" spans="1:3" x14ac:dyDescent="0.3">
      <c r="A64" s="5" t="s">
        <v>118</v>
      </c>
      <c r="B64" s="7">
        <v>0.1292571735049611</v>
      </c>
      <c r="C64" s="5">
        <v>7458</v>
      </c>
    </row>
    <row r="67" spans="1:3" x14ac:dyDescent="0.3">
      <c r="A67" s="1" t="s">
        <v>134</v>
      </c>
    </row>
    <row r="68" spans="1:3" x14ac:dyDescent="0.3">
      <c r="A68" s="4" t="s">
        <v>135</v>
      </c>
      <c r="B68" s="4" t="s">
        <v>131</v>
      </c>
      <c r="C68" s="4" t="s">
        <v>104</v>
      </c>
    </row>
    <row r="69" spans="1:3" x14ac:dyDescent="0.3">
      <c r="A69" s="5" t="s">
        <v>136</v>
      </c>
      <c r="B69" s="7">
        <v>0.47945205479452052</v>
      </c>
      <c r="C69" s="5">
        <v>146</v>
      </c>
    </row>
    <row r="70" spans="1:3" x14ac:dyDescent="0.3">
      <c r="A70" s="6" t="s">
        <v>137</v>
      </c>
      <c r="B70" s="8">
        <v>0.38217967599410901</v>
      </c>
      <c r="C70" s="6">
        <v>1358</v>
      </c>
    </row>
    <row r="71" spans="1:3" x14ac:dyDescent="0.3">
      <c r="A71" s="5" t="s">
        <v>138</v>
      </c>
      <c r="B71" s="7">
        <v>0.28564022809745981</v>
      </c>
      <c r="C71" s="5">
        <v>5787</v>
      </c>
    </row>
    <row r="72" spans="1:3" x14ac:dyDescent="0.3">
      <c r="A72" s="6" t="s">
        <v>139</v>
      </c>
      <c r="B72" s="8">
        <v>0.16803980748837591</v>
      </c>
      <c r="C72" s="6">
        <v>12259</v>
      </c>
    </row>
    <row r="73" spans="1:3" x14ac:dyDescent="0.3">
      <c r="A73" s="5" t="s">
        <v>140</v>
      </c>
      <c r="B73" s="7">
        <v>0.1025915041410633</v>
      </c>
      <c r="C73" s="5">
        <v>14972</v>
      </c>
    </row>
    <row r="74" spans="1:3" x14ac:dyDescent="0.3">
      <c r="A74" s="6" t="s">
        <v>141</v>
      </c>
      <c r="B74" s="8">
        <v>7.8111422226513474E-2</v>
      </c>
      <c r="C74" s="6">
        <v>10357</v>
      </c>
    </row>
    <row r="75" spans="1:3" x14ac:dyDescent="0.3">
      <c r="A75" s="5" t="s">
        <v>142</v>
      </c>
      <c r="B75" s="7">
        <v>5.9168131224370243E-2</v>
      </c>
      <c r="C75" s="5">
        <v>5121</v>
      </c>
    </row>
    <row r="78" spans="1:3" x14ac:dyDescent="0.3">
      <c r="A78" s="1" t="s">
        <v>143</v>
      </c>
    </row>
    <row r="79" spans="1:3" x14ac:dyDescent="0.3">
      <c r="A79" s="4" t="s">
        <v>144</v>
      </c>
      <c r="B79" s="4" t="s">
        <v>131</v>
      </c>
      <c r="C79" s="4" t="s">
        <v>104</v>
      </c>
    </row>
    <row r="80" spans="1:3" x14ac:dyDescent="0.3">
      <c r="A80" s="5" t="s">
        <v>145</v>
      </c>
      <c r="B80" s="7">
        <v>5.944998651927743E-2</v>
      </c>
      <c r="C80" s="5">
        <v>7418</v>
      </c>
    </row>
    <row r="81" spans="1:12" x14ac:dyDescent="0.3">
      <c r="A81" s="6" t="s">
        <v>146</v>
      </c>
      <c r="B81" s="8">
        <v>0.12019059494121841</v>
      </c>
      <c r="C81" s="6">
        <v>22456</v>
      </c>
    </row>
    <row r="82" spans="1:12" x14ac:dyDescent="0.3">
      <c r="A82" s="5" t="s">
        <v>147</v>
      </c>
      <c r="B82" s="7">
        <v>0.17011877883577109</v>
      </c>
      <c r="C82" s="5">
        <v>10187</v>
      </c>
    </row>
    <row r="83" spans="1:12" x14ac:dyDescent="0.3">
      <c r="A83" s="6" t="s">
        <v>148</v>
      </c>
      <c r="B83" s="8">
        <v>0.19908737535913471</v>
      </c>
      <c r="C83" s="6">
        <v>5917</v>
      </c>
    </row>
    <row r="84" spans="1:12" x14ac:dyDescent="0.3">
      <c r="A84" s="5" t="s">
        <v>149</v>
      </c>
      <c r="B84" s="7">
        <v>0.22352063649925411</v>
      </c>
      <c r="C84" s="5">
        <v>4022</v>
      </c>
    </row>
    <row r="87" spans="1:12" x14ac:dyDescent="0.3">
      <c r="A87" s="1" t="s">
        <v>150</v>
      </c>
    </row>
    <row r="88" spans="1:12" x14ac:dyDescent="0.3">
      <c r="A88" s="4" t="s">
        <v>73</v>
      </c>
      <c r="B88" s="4" t="s">
        <v>84</v>
      </c>
      <c r="C88" s="4" t="s">
        <v>79</v>
      </c>
      <c r="D88" s="4" t="s">
        <v>80</v>
      </c>
      <c r="E88" s="4" t="s">
        <v>81</v>
      </c>
      <c r="F88" s="4" t="s">
        <v>82</v>
      </c>
      <c r="G88" s="4" t="s">
        <v>83</v>
      </c>
      <c r="H88" s="4" t="s">
        <v>85</v>
      </c>
      <c r="I88" s="4" t="s">
        <v>78</v>
      </c>
      <c r="J88" s="4" t="s">
        <v>97</v>
      </c>
      <c r="K88" s="4" t="s">
        <v>99</v>
      </c>
      <c r="L88" s="4" t="s">
        <v>151</v>
      </c>
    </row>
    <row r="89" spans="1:12" x14ac:dyDescent="0.3">
      <c r="A89" s="5" t="s">
        <v>84</v>
      </c>
      <c r="B89" s="5">
        <v>1</v>
      </c>
      <c r="C89" s="5">
        <v>-0.54100000000000004</v>
      </c>
      <c r="D89" s="5">
        <v>0</v>
      </c>
      <c r="E89" s="5">
        <v>-3.0000000000000001E-3</v>
      </c>
      <c r="F89" s="5">
        <v>6.0000000000000001E-3</v>
      </c>
      <c r="G89" s="5">
        <v>0</v>
      </c>
      <c r="H89" s="5">
        <v>-0.17</v>
      </c>
      <c r="I89" s="5">
        <v>0</v>
      </c>
      <c r="J89" s="5">
        <v>-0.23599999999999999</v>
      </c>
      <c r="K89" s="5">
        <v>-0.23599999999999999</v>
      </c>
      <c r="L89" s="5">
        <v>-0.218</v>
      </c>
    </row>
    <row r="90" spans="1:12" x14ac:dyDescent="0.3">
      <c r="A90" s="6" t="s">
        <v>79</v>
      </c>
      <c r="B90" s="6">
        <v>-0.54100000000000004</v>
      </c>
      <c r="C90" s="6">
        <v>1</v>
      </c>
      <c r="D90" s="6">
        <v>5.0000000000000001E-3</v>
      </c>
      <c r="E90" s="6">
        <v>0.01</v>
      </c>
      <c r="F90" s="6">
        <v>-2E-3</v>
      </c>
      <c r="G90" s="6">
        <v>-2E-3</v>
      </c>
      <c r="H90" s="6">
        <v>0.26300000000000001</v>
      </c>
      <c r="I90" s="6">
        <v>-3.0000000000000001E-3</v>
      </c>
      <c r="J90" s="6">
        <v>0.434</v>
      </c>
      <c r="K90" s="6">
        <v>0.434</v>
      </c>
      <c r="L90" s="6">
        <v>0.36699999999999999</v>
      </c>
    </row>
    <row r="91" spans="1:12" x14ac:dyDescent="0.3">
      <c r="A91" s="5" t="s">
        <v>80</v>
      </c>
      <c r="B91" s="5">
        <v>0</v>
      </c>
      <c r="C91" s="5">
        <v>5.0000000000000001E-3</v>
      </c>
      <c r="D91" s="5">
        <v>1</v>
      </c>
      <c r="E91" s="5">
        <v>-1E-3</v>
      </c>
      <c r="F91" s="5">
        <v>2E-3</v>
      </c>
      <c r="G91" s="5">
        <v>0</v>
      </c>
      <c r="H91" s="5">
        <v>-3.0000000000000001E-3</v>
      </c>
      <c r="I91" s="5">
        <v>-8.4000000000000005E-2</v>
      </c>
      <c r="J91" s="5">
        <v>0.03</v>
      </c>
      <c r="K91" s="5">
        <v>0.03</v>
      </c>
      <c r="L91" s="5">
        <v>-3.0000000000000001E-3</v>
      </c>
    </row>
    <row r="92" spans="1:12" x14ac:dyDescent="0.3">
      <c r="A92" s="6" t="s">
        <v>81</v>
      </c>
      <c r="B92" s="6">
        <v>-3.0000000000000001E-3</v>
      </c>
      <c r="C92" s="6">
        <v>0.01</v>
      </c>
      <c r="D92" s="6">
        <v>-1E-3</v>
      </c>
      <c r="E92" s="6">
        <v>1</v>
      </c>
      <c r="F92" s="6">
        <v>4.0000000000000001E-3</v>
      </c>
      <c r="G92" s="6">
        <v>1E-3</v>
      </c>
      <c r="H92" s="6">
        <v>3.0000000000000001E-3</v>
      </c>
      <c r="I92" s="6">
        <v>-5.0000000000000001E-3</v>
      </c>
      <c r="J92" s="6">
        <v>5.0000000000000001E-3</v>
      </c>
      <c r="K92" s="6">
        <v>5.0000000000000001E-3</v>
      </c>
      <c r="L92" s="6">
        <v>1E-3</v>
      </c>
    </row>
    <row r="93" spans="1:12" x14ac:dyDescent="0.3">
      <c r="A93" s="5" t="s">
        <v>82</v>
      </c>
      <c r="B93" s="5">
        <v>6.0000000000000001E-3</v>
      </c>
      <c r="C93" s="5">
        <v>-2E-3</v>
      </c>
      <c r="D93" s="5">
        <v>2E-3</v>
      </c>
      <c r="E93" s="5">
        <v>4.0000000000000001E-3</v>
      </c>
      <c r="F93" s="5">
        <v>1</v>
      </c>
      <c r="G93" s="5">
        <v>-3.0000000000000001E-3</v>
      </c>
      <c r="H93" s="5">
        <v>4.0000000000000001E-3</v>
      </c>
      <c r="I93" s="5">
        <v>-2E-3</v>
      </c>
      <c r="J93" s="5">
        <v>3.0000000000000001E-3</v>
      </c>
      <c r="K93" s="5">
        <v>3.0000000000000001E-3</v>
      </c>
      <c r="L93" s="5">
        <v>-0.01</v>
      </c>
    </row>
    <row r="94" spans="1:12" x14ac:dyDescent="0.3">
      <c r="A94" s="6" t="s">
        <v>83</v>
      </c>
      <c r="B94" s="6">
        <v>0</v>
      </c>
      <c r="C94" s="6">
        <v>-2E-3</v>
      </c>
      <c r="D94" s="6">
        <v>0</v>
      </c>
      <c r="E94" s="6">
        <v>1E-3</v>
      </c>
      <c r="F94" s="6">
        <v>-3.0000000000000001E-3</v>
      </c>
      <c r="G94" s="6">
        <v>1</v>
      </c>
      <c r="H94" s="6">
        <v>1E-3</v>
      </c>
      <c r="I94" s="6">
        <v>-2E-3</v>
      </c>
      <c r="J94" s="6">
        <v>-6.0000000000000001E-3</v>
      </c>
      <c r="K94" s="6">
        <v>-6.0000000000000001E-3</v>
      </c>
      <c r="L94" s="6">
        <v>-3.0000000000000001E-3</v>
      </c>
    </row>
    <row r="95" spans="1:12" x14ac:dyDescent="0.3">
      <c r="A95" s="5" t="s">
        <v>85</v>
      </c>
      <c r="B95" s="5">
        <v>-0.17</v>
      </c>
      <c r="C95" s="5">
        <v>0.26300000000000001</v>
      </c>
      <c r="D95" s="5">
        <v>-3.0000000000000001E-3</v>
      </c>
      <c r="E95" s="5">
        <v>3.0000000000000001E-3</v>
      </c>
      <c r="F95" s="5">
        <v>4.0000000000000001E-3</v>
      </c>
      <c r="G95" s="5">
        <v>1E-3</v>
      </c>
      <c r="H95" s="5">
        <v>1</v>
      </c>
      <c r="I95" s="5">
        <v>-3.0000000000000001E-3</v>
      </c>
      <c r="J95" s="5">
        <v>0.113</v>
      </c>
      <c r="K95" s="5">
        <v>0.113</v>
      </c>
      <c r="L95" s="5">
        <v>0.111</v>
      </c>
    </row>
    <row r="96" spans="1:12" x14ac:dyDescent="0.3">
      <c r="A96" s="6" t="s">
        <v>78</v>
      </c>
      <c r="B96" s="6">
        <v>0</v>
      </c>
      <c r="C96" s="6">
        <v>-3.0000000000000001E-3</v>
      </c>
      <c r="D96" s="6">
        <v>-8.4000000000000005E-2</v>
      </c>
      <c r="E96" s="6">
        <v>-5.0000000000000001E-3</v>
      </c>
      <c r="F96" s="6">
        <v>-2E-3</v>
      </c>
      <c r="G96" s="6">
        <v>-2E-3</v>
      </c>
      <c r="H96" s="6">
        <v>-3.0000000000000001E-3</v>
      </c>
      <c r="I96" s="6">
        <v>1</v>
      </c>
      <c r="J96" s="6">
        <v>0.40799999999999997</v>
      </c>
      <c r="K96" s="6">
        <v>0.40799999999999997</v>
      </c>
      <c r="L96" s="6">
        <v>-1E-3</v>
      </c>
    </row>
    <row r="97" spans="1:12" x14ac:dyDescent="0.3">
      <c r="A97" s="5" t="s">
        <v>97</v>
      </c>
      <c r="B97" s="5">
        <v>-0.23599999999999999</v>
      </c>
      <c r="C97" s="5">
        <v>0.434</v>
      </c>
      <c r="D97" s="5">
        <v>0.03</v>
      </c>
      <c r="E97" s="5">
        <v>5.0000000000000001E-3</v>
      </c>
      <c r="F97" s="5">
        <v>3.0000000000000001E-3</v>
      </c>
      <c r="G97" s="5">
        <v>-6.0000000000000001E-3</v>
      </c>
      <c r="H97" s="5">
        <v>0.113</v>
      </c>
      <c r="I97" s="5">
        <v>0.40799999999999997</v>
      </c>
      <c r="J97" s="5">
        <v>1</v>
      </c>
      <c r="K97" s="5">
        <v>1</v>
      </c>
      <c r="L97" s="5">
        <v>0.16</v>
      </c>
    </row>
    <row r="98" spans="1:12" x14ac:dyDescent="0.3">
      <c r="A98" s="6" t="s">
        <v>99</v>
      </c>
      <c r="B98" s="6">
        <v>-0.23599999999999999</v>
      </c>
      <c r="C98" s="6">
        <v>0.434</v>
      </c>
      <c r="D98" s="6">
        <v>0.03</v>
      </c>
      <c r="E98" s="6">
        <v>5.0000000000000001E-3</v>
      </c>
      <c r="F98" s="6">
        <v>3.0000000000000001E-3</v>
      </c>
      <c r="G98" s="6">
        <v>-6.0000000000000001E-3</v>
      </c>
      <c r="H98" s="6">
        <v>0.113</v>
      </c>
      <c r="I98" s="6">
        <v>0.40799999999999997</v>
      </c>
      <c r="J98" s="6">
        <v>1</v>
      </c>
      <c r="K98" s="6">
        <v>1</v>
      </c>
      <c r="L98" s="6">
        <v>0.16</v>
      </c>
    </row>
    <row r="99" spans="1:12" x14ac:dyDescent="0.3">
      <c r="A99" s="5" t="s">
        <v>151</v>
      </c>
      <c r="B99" s="5">
        <v>-0.218</v>
      </c>
      <c r="C99" s="5">
        <v>0.36699999999999999</v>
      </c>
      <c r="D99" s="5">
        <v>-3.0000000000000001E-3</v>
      </c>
      <c r="E99" s="5">
        <v>1E-3</v>
      </c>
      <c r="F99" s="5">
        <v>-0.01</v>
      </c>
      <c r="G99" s="5">
        <v>-3.0000000000000001E-3</v>
      </c>
      <c r="H99" s="5">
        <v>0.111</v>
      </c>
      <c r="I99" s="5">
        <v>-1E-3</v>
      </c>
      <c r="J99" s="5">
        <v>0.16</v>
      </c>
      <c r="K99" s="5">
        <v>0.16</v>
      </c>
      <c r="L99" s="5">
        <v>1</v>
      </c>
    </row>
  </sheetData>
  <mergeCells count="1">
    <mergeCell ref="A1:I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showGridLines="0" workbookViewId="0"/>
  </sheetViews>
  <sheetFormatPr defaultRowHeight="14.4" x14ac:dyDescent="0.3"/>
  <cols>
    <col min="1" max="5" width="12" customWidth="1"/>
    <col min="6" max="7" width="13" customWidth="1"/>
    <col min="8" max="11" width="12" customWidth="1"/>
  </cols>
  <sheetData>
    <row r="1" spans="1:9" ht="28.05" customHeight="1" x14ac:dyDescent="0.3">
      <c r="A1" s="14" t="s">
        <v>152</v>
      </c>
      <c r="B1" s="13"/>
      <c r="C1" s="13"/>
      <c r="D1" s="13"/>
      <c r="E1" s="13"/>
      <c r="F1" s="13"/>
      <c r="G1" s="13"/>
      <c r="H1" s="13"/>
      <c r="I1" s="13"/>
    </row>
    <row r="3" spans="1:9" x14ac:dyDescent="0.3">
      <c r="A3" s="1" t="s">
        <v>153</v>
      </c>
    </row>
    <row r="4" spans="1:9" x14ac:dyDescent="0.3">
      <c r="A4" s="4" t="s">
        <v>154</v>
      </c>
      <c r="B4" s="4" t="s">
        <v>110</v>
      </c>
      <c r="C4" s="4" t="s">
        <v>113</v>
      </c>
      <c r="D4" s="4" t="s">
        <v>116</v>
      </c>
      <c r="E4" s="4" t="s">
        <v>119</v>
      </c>
      <c r="F4" s="4" t="s">
        <v>122</v>
      </c>
      <c r="G4" s="4" t="s">
        <v>124</v>
      </c>
      <c r="H4" s="4" t="s">
        <v>126</v>
      </c>
      <c r="I4" s="4" t="s">
        <v>155</v>
      </c>
    </row>
    <row r="5" spans="1:9" x14ac:dyDescent="0.3">
      <c r="A5" s="5" t="s">
        <v>110</v>
      </c>
      <c r="B5" s="7">
        <v>0.89039999999999997</v>
      </c>
      <c r="C5" s="7">
        <v>9.4299999999999995E-2</v>
      </c>
      <c r="D5" s="7">
        <v>8.8000000000000005E-3</v>
      </c>
      <c r="E5" s="7">
        <v>2.2000000000000001E-3</v>
      </c>
      <c r="F5" s="7">
        <v>0</v>
      </c>
      <c r="G5" s="7">
        <v>2.2000000000000001E-3</v>
      </c>
      <c r="H5" s="7">
        <v>0</v>
      </c>
      <c r="I5" s="7">
        <v>2.2000000000000001E-3</v>
      </c>
    </row>
    <row r="6" spans="1:9" x14ac:dyDescent="0.3">
      <c r="A6" s="6" t="s">
        <v>113</v>
      </c>
      <c r="B6" s="8">
        <v>9.7000000000000003E-3</v>
      </c>
      <c r="C6" s="8">
        <v>0.90280000000000005</v>
      </c>
      <c r="D6" s="8">
        <v>7.7200000000000005E-2</v>
      </c>
      <c r="E6" s="8">
        <v>7.1999999999999998E-3</v>
      </c>
      <c r="F6" s="8">
        <v>0</v>
      </c>
      <c r="G6" s="8">
        <v>5.9999999999999995E-4</v>
      </c>
      <c r="H6" s="8">
        <v>1.1999999999999999E-3</v>
      </c>
      <c r="I6" s="8">
        <v>1.1999999999999999E-3</v>
      </c>
    </row>
    <row r="7" spans="1:9" x14ac:dyDescent="0.3">
      <c r="A7" s="5" t="s">
        <v>116</v>
      </c>
      <c r="B7" s="7">
        <v>1.1000000000000001E-3</v>
      </c>
      <c r="C7" s="7">
        <v>2.24E-2</v>
      </c>
      <c r="D7" s="7">
        <v>0.90380000000000005</v>
      </c>
      <c r="E7" s="7">
        <v>5.3199999999999997E-2</v>
      </c>
      <c r="F7" s="7">
        <v>8.6999999999999994E-3</v>
      </c>
      <c r="G7" s="7">
        <v>6.3E-3</v>
      </c>
      <c r="H7" s="7">
        <v>1.2999999999999999E-3</v>
      </c>
      <c r="I7" s="7">
        <v>3.2000000000000002E-3</v>
      </c>
    </row>
    <row r="8" spans="1:9" x14ac:dyDescent="0.3">
      <c r="A8" s="6" t="s">
        <v>119</v>
      </c>
      <c r="B8" s="8">
        <v>4.0000000000000002E-4</v>
      </c>
      <c r="C8" s="8">
        <v>1.9E-3</v>
      </c>
      <c r="D8" s="8">
        <v>6.8400000000000002E-2</v>
      </c>
      <c r="E8" s="8">
        <v>0.86080000000000001</v>
      </c>
      <c r="F8" s="8">
        <v>4.9599999999999998E-2</v>
      </c>
      <c r="G8" s="8">
        <v>1.3299999999999999E-2</v>
      </c>
      <c r="H8" s="8">
        <v>2.7000000000000001E-3</v>
      </c>
      <c r="I8" s="8">
        <v>2.7000000000000001E-3</v>
      </c>
    </row>
    <row r="9" spans="1:9" x14ac:dyDescent="0.3">
      <c r="A9" s="5" t="s">
        <v>122</v>
      </c>
      <c r="B9" s="7">
        <v>2.9999999999999997E-4</v>
      </c>
      <c r="C9" s="7">
        <v>1.9E-3</v>
      </c>
      <c r="D9" s="7">
        <v>8.0000000000000002E-3</v>
      </c>
      <c r="E9" s="7">
        <v>8.48E-2</v>
      </c>
      <c r="F9" s="7">
        <v>0.78659999999999997</v>
      </c>
      <c r="G9" s="7">
        <v>9.5899999999999999E-2</v>
      </c>
      <c r="H9" s="7">
        <v>1.0800000000000001E-2</v>
      </c>
      <c r="I9" s="7">
        <v>1.18E-2</v>
      </c>
    </row>
    <row r="10" spans="1:9" x14ac:dyDescent="0.3">
      <c r="A10" s="6" t="s">
        <v>124</v>
      </c>
      <c r="B10" s="8">
        <v>0</v>
      </c>
      <c r="C10" s="8">
        <v>2.9999999999999997E-4</v>
      </c>
      <c r="D10" s="8">
        <v>8.9999999999999998E-4</v>
      </c>
      <c r="E10" s="8">
        <v>3.7000000000000002E-3</v>
      </c>
      <c r="F10" s="8">
        <v>6.6500000000000004E-2</v>
      </c>
      <c r="G10" s="8">
        <v>0.83479999999999999</v>
      </c>
      <c r="H10" s="8">
        <v>0.04</v>
      </c>
      <c r="I10" s="8">
        <v>5.3699999999999998E-2</v>
      </c>
    </row>
    <row r="11" spans="1:9" x14ac:dyDescent="0.3">
      <c r="A11" s="5" t="s">
        <v>126</v>
      </c>
      <c r="B11" s="7">
        <v>1.1999999999999999E-3</v>
      </c>
      <c r="C11" s="7">
        <v>0</v>
      </c>
      <c r="D11" s="7">
        <v>0</v>
      </c>
      <c r="E11" s="7">
        <v>1.1599999999999999E-2</v>
      </c>
      <c r="F11" s="7">
        <v>2.3199999999999998E-2</v>
      </c>
      <c r="G11" s="7">
        <v>0.123</v>
      </c>
      <c r="H11" s="7">
        <v>0.63339999999999996</v>
      </c>
      <c r="I11" s="7">
        <v>0.2077</v>
      </c>
    </row>
    <row r="14" spans="1:9" x14ac:dyDescent="0.3">
      <c r="A14" s="1" t="s">
        <v>156</v>
      </c>
    </row>
    <row r="15" spans="1:9" x14ac:dyDescent="0.3">
      <c r="A15" s="4" t="s">
        <v>154</v>
      </c>
      <c r="B15" s="4" t="s">
        <v>110</v>
      </c>
      <c r="C15" s="4" t="s">
        <v>113</v>
      </c>
      <c r="D15" s="4" t="s">
        <v>116</v>
      </c>
      <c r="E15" s="4" t="s">
        <v>119</v>
      </c>
      <c r="F15" s="4" t="s">
        <v>122</v>
      </c>
      <c r="G15" s="4" t="s">
        <v>124</v>
      </c>
      <c r="H15" s="4" t="s">
        <v>126</v>
      </c>
      <c r="I15" s="4" t="s">
        <v>155</v>
      </c>
    </row>
    <row r="16" spans="1:9" x14ac:dyDescent="0.3">
      <c r="A16" s="5" t="s">
        <v>110</v>
      </c>
      <c r="B16" s="5">
        <v>406</v>
      </c>
      <c r="C16" s="5">
        <v>43</v>
      </c>
      <c r="D16" s="5">
        <v>4</v>
      </c>
      <c r="E16" s="5">
        <v>1</v>
      </c>
      <c r="F16" s="5">
        <v>0</v>
      </c>
      <c r="G16" s="5">
        <v>1</v>
      </c>
      <c r="H16" s="5">
        <v>0</v>
      </c>
      <c r="I16" s="5">
        <v>1</v>
      </c>
    </row>
    <row r="17" spans="1:9" x14ac:dyDescent="0.3">
      <c r="A17" s="6" t="s">
        <v>113</v>
      </c>
      <c r="B17" s="6">
        <v>16</v>
      </c>
      <c r="C17" s="6">
        <v>1496</v>
      </c>
      <c r="D17" s="6">
        <v>128</v>
      </c>
      <c r="E17" s="6">
        <v>12</v>
      </c>
      <c r="F17" s="6">
        <v>0</v>
      </c>
      <c r="G17" s="6">
        <v>1</v>
      </c>
      <c r="H17" s="6">
        <v>2</v>
      </c>
      <c r="I17" s="6">
        <v>2</v>
      </c>
    </row>
    <row r="18" spans="1:9" x14ac:dyDescent="0.3">
      <c r="A18" s="5" t="s">
        <v>116</v>
      </c>
      <c r="B18" s="5">
        <v>4</v>
      </c>
      <c r="C18" s="5">
        <v>85</v>
      </c>
      <c r="D18" s="5">
        <v>3429</v>
      </c>
      <c r="E18" s="5">
        <v>202</v>
      </c>
      <c r="F18" s="5">
        <v>33</v>
      </c>
      <c r="G18" s="5">
        <v>24</v>
      </c>
      <c r="H18" s="5">
        <v>5</v>
      </c>
      <c r="I18" s="5">
        <v>12</v>
      </c>
    </row>
    <row r="19" spans="1:9" x14ac:dyDescent="0.3">
      <c r="A19" s="6" t="s">
        <v>119</v>
      </c>
      <c r="B19" s="6">
        <v>2</v>
      </c>
      <c r="C19" s="6">
        <v>9</v>
      </c>
      <c r="D19" s="6">
        <v>324</v>
      </c>
      <c r="E19" s="6">
        <v>4076</v>
      </c>
      <c r="F19" s="6">
        <v>235</v>
      </c>
      <c r="G19" s="6">
        <v>63</v>
      </c>
      <c r="H19" s="6">
        <v>13</v>
      </c>
      <c r="I19" s="6">
        <v>13</v>
      </c>
    </row>
    <row r="20" spans="1:9" x14ac:dyDescent="0.3">
      <c r="A20" s="5" t="s">
        <v>122</v>
      </c>
      <c r="B20" s="5">
        <v>1</v>
      </c>
      <c r="C20" s="5">
        <v>6</v>
      </c>
      <c r="D20" s="5">
        <v>26</v>
      </c>
      <c r="E20" s="5">
        <v>274</v>
      </c>
      <c r="F20" s="5">
        <v>2543</v>
      </c>
      <c r="G20" s="5">
        <v>310</v>
      </c>
      <c r="H20" s="5">
        <v>35</v>
      </c>
      <c r="I20" s="5">
        <v>38</v>
      </c>
    </row>
    <row r="21" spans="1:9" x14ac:dyDescent="0.3">
      <c r="A21" s="6" t="s">
        <v>124</v>
      </c>
      <c r="B21" s="6">
        <v>0</v>
      </c>
      <c r="C21" s="6">
        <v>1</v>
      </c>
      <c r="D21" s="6">
        <v>3</v>
      </c>
      <c r="E21" s="6">
        <v>12</v>
      </c>
      <c r="F21" s="6">
        <v>213</v>
      </c>
      <c r="G21" s="6">
        <v>2673</v>
      </c>
      <c r="H21" s="6">
        <v>128</v>
      </c>
      <c r="I21" s="6">
        <v>172</v>
      </c>
    </row>
    <row r="22" spans="1:9" x14ac:dyDescent="0.3">
      <c r="A22" s="5" t="s">
        <v>126</v>
      </c>
      <c r="B22" s="5">
        <v>1</v>
      </c>
      <c r="C22" s="5">
        <v>0</v>
      </c>
      <c r="D22" s="5">
        <v>0</v>
      </c>
      <c r="E22" s="5">
        <v>10</v>
      </c>
      <c r="F22" s="5">
        <v>20</v>
      </c>
      <c r="G22" s="5">
        <v>106</v>
      </c>
      <c r="H22" s="5">
        <v>546</v>
      </c>
      <c r="I22" s="5">
        <v>179</v>
      </c>
    </row>
    <row r="25" spans="1:9" x14ac:dyDescent="0.3">
      <c r="A25" s="1" t="s">
        <v>157</v>
      </c>
    </row>
    <row r="26" spans="1:9" x14ac:dyDescent="0.3">
      <c r="A26" s="4" t="s">
        <v>158</v>
      </c>
      <c r="B26" s="4" t="s">
        <v>159</v>
      </c>
      <c r="C26" s="4" t="s">
        <v>160</v>
      </c>
      <c r="D26" s="4" t="s">
        <v>151</v>
      </c>
    </row>
    <row r="27" spans="1:9" x14ac:dyDescent="0.3">
      <c r="A27" s="5">
        <v>2015</v>
      </c>
      <c r="B27" s="7">
        <v>7.4999999999999997E-2</v>
      </c>
      <c r="C27" s="7">
        <v>6.2E-2</v>
      </c>
      <c r="D27" s="7">
        <v>2.9000000000000001E-2</v>
      </c>
    </row>
    <row r="28" spans="1:9" x14ac:dyDescent="0.3">
      <c r="A28" s="6">
        <v>2016</v>
      </c>
      <c r="B28" s="8">
        <v>5.9200000000000003E-2</v>
      </c>
      <c r="C28" s="8">
        <v>7.0499999999999993E-2</v>
      </c>
      <c r="D28" s="8">
        <v>2.8799999999999999E-2</v>
      </c>
    </row>
    <row r="29" spans="1:9" x14ac:dyDescent="0.3">
      <c r="A29" s="5">
        <v>2017</v>
      </c>
      <c r="B29" s="7">
        <v>6.2600000000000003E-2</v>
      </c>
      <c r="C29" s="7">
        <v>6.6799999999999998E-2</v>
      </c>
      <c r="D29" s="7">
        <v>2.3300000000000001E-2</v>
      </c>
    </row>
    <row r="30" spans="1:9" x14ac:dyDescent="0.3">
      <c r="A30" s="6">
        <v>2018</v>
      </c>
      <c r="B30" s="8">
        <v>5.8599999999999999E-2</v>
      </c>
      <c r="C30" s="8">
        <v>6.5699999999999995E-2</v>
      </c>
      <c r="D30" s="8">
        <v>1.6799999999999999E-2</v>
      </c>
    </row>
    <row r="31" spans="1:9" x14ac:dyDescent="0.3">
      <c r="A31" s="5">
        <v>2019</v>
      </c>
      <c r="B31" s="7">
        <v>6.4100000000000004E-2</v>
      </c>
      <c r="C31" s="7">
        <v>6.6299999999999998E-2</v>
      </c>
      <c r="D31" s="7">
        <v>1.2699999999999999E-2</v>
      </c>
    </row>
    <row r="32" spans="1:9" x14ac:dyDescent="0.3">
      <c r="A32" s="6">
        <v>2020</v>
      </c>
      <c r="B32" s="8">
        <v>5.9799999999999999E-2</v>
      </c>
      <c r="C32" s="8">
        <v>9.7299999999999998E-2</v>
      </c>
      <c r="D32" s="8">
        <v>4.3099999999999999E-2</v>
      </c>
    </row>
    <row r="33" spans="1:11" x14ac:dyDescent="0.3">
      <c r="A33" s="5">
        <v>2021</v>
      </c>
      <c r="B33" s="7">
        <v>7.0699999999999999E-2</v>
      </c>
      <c r="C33" s="7">
        <v>6.6600000000000006E-2</v>
      </c>
      <c r="D33" s="7">
        <v>1.5800000000000002E-2</v>
      </c>
    </row>
    <row r="34" spans="1:11" x14ac:dyDescent="0.3">
      <c r="A34" s="6">
        <v>2022</v>
      </c>
      <c r="B34" s="8">
        <v>5.7000000000000002E-2</v>
      </c>
      <c r="C34" s="8">
        <v>7.1300000000000002E-2</v>
      </c>
      <c r="D34" s="8">
        <v>1.84E-2</v>
      </c>
    </row>
    <row r="35" spans="1:11" x14ac:dyDescent="0.3">
      <c r="A35" s="5">
        <v>2023</v>
      </c>
      <c r="B35" s="7">
        <v>6.2300000000000001E-2</v>
      </c>
      <c r="C35" s="7">
        <v>5.8099999999999999E-2</v>
      </c>
      <c r="D35" s="7">
        <v>1.8800000000000001E-2</v>
      </c>
    </row>
    <row r="36" spans="1:11" x14ac:dyDescent="0.3">
      <c r="A36" s="6">
        <v>2024</v>
      </c>
      <c r="B36" s="8">
        <v>4.87E-2</v>
      </c>
      <c r="C36" s="8">
        <v>6.6600000000000006E-2</v>
      </c>
      <c r="D36" s="8">
        <v>2.4E-2</v>
      </c>
    </row>
    <row r="39" spans="1:11" x14ac:dyDescent="0.3">
      <c r="A39" s="1" t="s">
        <v>161</v>
      </c>
    </row>
    <row r="40" spans="1:11" x14ac:dyDescent="0.3">
      <c r="A40" s="4" t="s">
        <v>158</v>
      </c>
      <c r="B40" s="4" t="s">
        <v>114</v>
      </c>
      <c r="C40" s="4" t="s">
        <v>108</v>
      </c>
      <c r="D40" s="4" t="s">
        <v>117</v>
      </c>
      <c r="E40" s="4" t="s">
        <v>123</v>
      </c>
      <c r="F40" s="4" t="s">
        <v>120</v>
      </c>
      <c r="G40" s="4" t="s">
        <v>129</v>
      </c>
      <c r="H40" s="4" t="s">
        <v>128</v>
      </c>
      <c r="I40" s="4" t="s">
        <v>125</v>
      </c>
      <c r="J40" s="4" t="s">
        <v>111</v>
      </c>
      <c r="K40" s="4" t="s">
        <v>127</v>
      </c>
    </row>
    <row r="41" spans="1:11" x14ac:dyDescent="0.3">
      <c r="A41" s="5">
        <v>2015</v>
      </c>
      <c r="B41" s="5">
        <v>4.2799999999999998E-2</v>
      </c>
      <c r="C41" s="5">
        <v>2.87E-2</v>
      </c>
      <c r="D41" s="5">
        <v>3.2399999999999998E-2</v>
      </c>
      <c r="E41" s="5">
        <v>2.7099999999999999E-2</v>
      </c>
      <c r="F41" s="5">
        <v>2.2499999999999999E-2</v>
      </c>
      <c r="G41" s="5">
        <v>2.2499999999999999E-2</v>
      </c>
      <c r="H41" s="5">
        <v>3.1399999999999997E-2</v>
      </c>
      <c r="I41" s="5">
        <v>4.5199999999999997E-2</v>
      </c>
      <c r="J41" s="5">
        <v>2.4799999999999999E-2</v>
      </c>
      <c r="K41" s="5">
        <v>1.52E-2</v>
      </c>
    </row>
    <row r="42" spans="1:11" x14ac:dyDescent="0.3">
      <c r="A42" s="6">
        <v>2016</v>
      </c>
      <c r="B42" s="6">
        <v>3.9100000000000003E-2</v>
      </c>
      <c r="C42" s="6">
        <v>1.4800000000000001E-2</v>
      </c>
      <c r="D42" s="6">
        <v>1.9099999999999999E-2</v>
      </c>
      <c r="E42" s="6">
        <v>4.65E-2</v>
      </c>
      <c r="F42" s="6">
        <v>2.3E-2</v>
      </c>
      <c r="G42" s="6">
        <v>4.5999999999999999E-2</v>
      </c>
      <c r="H42" s="6">
        <v>2.7E-2</v>
      </c>
      <c r="I42" s="6">
        <v>2.3699999999999999E-2</v>
      </c>
      <c r="J42" s="6">
        <v>1.52E-2</v>
      </c>
      <c r="K42" s="6">
        <v>3.61E-2</v>
      </c>
    </row>
    <row r="43" spans="1:11" x14ac:dyDescent="0.3">
      <c r="A43" s="5">
        <v>2017</v>
      </c>
      <c r="B43" s="5">
        <v>2.9100000000000001E-2</v>
      </c>
      <c r="C43" s="5">
        <v>3.5000000000000003E-2</v>
      </c>
      <c r="D43" s="5">
        <v>2.4400000000000002E-2</v>
      </c>
      <c r="E43" s="5">
        <v>4.3900000000000002E-2</v>
      </c>
      <c r="F43" s="5">
        <v>2.3599999999999999E-2</v>
      </c>
      <c r="G43" s="5">
        <v>1.8100000000000002E-2</v>
      </c>
      <c r="H43" s="5">
        <v>2.2200000000000001E-2</v>
      </c>
      <c r="I43" s="5">
        <v>2.4199999999999999E-2</v>
      </c>
      <c r="J43" s="5">
        <v>5.1999999999999998E-3</v>
      </c>
      <c r="K43" s="5">
        <v>5.3E-3</v>
      </c>
    </row>
    <row r="44" spans="1:11" x14ac:dyDescent="0.3">
      <c r="A44" s="6">
        <v>2018</v>
      </c>
      <c r="B44" s="6">
        <v>1.7999999999999999E-2</v>
      </c>
      <c r="C44" s="6">
        <v>2.07E-2</v>
      </c>
      <c r="D44" s="6">
        <v>1.4999999999999999E-2</v>
      </c>
      <c r="E44" s="6">
        <v>1.5299999999999999E-2</v>
      </c>
      <c r="F44" s="6">
        <v>1.4500000000000001E-2</v>
      </c>
      <c r="G44" s="6">
        <v>1.23E-2</v>
      </c>
      <c r="H44" s="6">
        <v>2.2700000000000001E-2</v>
      </c>
      <c r="I44" s="6">
        <v>2.4799999999999999E-2</v>
      </c>
      <c r="J44" s="6">
        <v>1.04E-2</v>
      </c>
      <c r="K44" s="6">
        <v>1.61E-2</v>
      </c>
    </row>
    <row r="45" spans="1:11" x14ac:dyDescent="0.3">
      <c r="A45" s="5">
        <v>2019</v>
      </c>
      <c r="B45" s="5">
        <v>1.2200000000000001E-2</v>
      </c>
      <c r="C45" s="5">
        <v>5.3E-3</v>
      </c>
      <c r="D45" s="5">
        <v>1.0200000000000001E-2</v>
      </c>
      <c r="E45" s="5">
        <v>1.55E-2</v>
      </c>
      <c r="F45" s="5">
        <v>4.8999999999999998E-3</v>
      </c>
      <c r="G45" s="5">
        <v>1.24E-2</v>
      </c>
      <c r="H45" s="5">
        <v>1.1599999999999999E-2</v>
      </c>
      <c r="I45" s="5">
        <v>3.1800000000000002E-2</v>
      </c>
      <c r="J45" s="5">
        <v>1.0500000000000001E-2</v>
      </c>
      <c r="K45" s="5">
        <v>1.6400000000000001E-2</v>
      </c>
    </row>
    <row r="46" spans="1:11" x14ac:dyDescent="0.3">
      <c r="A46" s="6">
        <v>2020</v>
      </c>
      <c r="B46" s="6">
        <v>5.5599999999999997E-2</v>
      </c>
      <c r="C46" s="6">
        <v>2.6599999999999999E-2</v>
      </c>
      <c r="D46" s="6">
        <v>3.5900000000000001E-2</v>
      </c>
      <c r="E46" s="6">
        <v>4.2099999999999999E-2</v>
      </c>
      <c r="F46" s="6">
        <v>5.4199999999999998E-2</v>
      </c>
      <c r="G46" s="6">
        <v>5.0299999999999997E-2</v>
      </c>
      <c r="H46" s="6">
        <v>6.4699999999999994E-2</v>
      </c>
      <c r="I46" s="6">
        <v>1.9699999999999999E-2</v>
      </c>
      <c r="J46" s="6">
        <v>3.1699999999999999E-2</v>
      </c>
      <c r="K46" s="6">
        <v>0.05</v>
      </c>
    </row>
    <row r="47" spans="1:11" x14ac:dyDescent="0.3">
      <c r="A47" s="5">
        <v>2021</v>
      </c>
      <c r="B47" s="5">
        <v>2.6100000000000002E-2</v>
      </c>
      <c r="C47" s="5">
        <v>2.1899999999999999E-2</v>
      </c>
      <c r="D47" s="5">
        <v>5.3E-3</v>
      </c>
      <c r="E47" s="5">
        <v>1.0999999999999999E-2</v>
      </c>
      <c r="F47" s="5">
        <v>5.1999999999999998E-3</v>
      </c>
      <c r="G47" s="5">
        <v>2.6499999999999999E-2</v>
      </c>
      <c r="H47" s="5">
        <v>1.26E-2</v>
      </c>
      <c r="I47" s="5">
        <v>6.7000000000000002E-3</v>
      </c>
      <c r="J47" s="5">
        <v>2.7300000000000001E-2</v>
      </c>
      <c r="K47" s="5">
        <v>1.7500000000000002E-2</v>
      </c>
    </row>
    <row r="48" spans="1:11" x14ac:dyDescent="0.3">
      <c r="A48" s="6">
        <v>2022</v>
      </c>
      <c r="B48" s="6">
        <v>2.01E-2</v>
      </c>
      <c r="C48" s="6">
        <v>3.3500000000000002E-2</v>
      </c>
      <c r="D48" s="6">
        <v>1.6E-2</v>
      </c>
      <c r="E48" s="6">
        <v>1.11E-2</v>
      </c>
      <c r="F48" s="6">
        <v>2.0899999999999998E-2</v>
      </c>
      <c r="G48" s="6">
        <v>6.7999999999999996E-3</v>
      </c>
      <c r="H48" s="6">
        <v>1.9099999999999999E-2</v>
      </c>
      <c r="I48" s="6">
        <v>1.35E-2</v>
      </c>
      <c r="J48" s="6">
        <v>1.12E-2</v>
      </c>
      <c r="K48" s="6">
        <v>2.98E-2</v>
      </c>
    </row>
    <row r="49" spans="1:11" x14ac:dyDescent="0.3">
      <c r="A49" s="5">
        <v>2023</v>
      </c>
      <c r="B49" s="5">
        <v>3.4200000000000001E-2</v>
      </c>
      <c r="C49" s="5">
        <v>1.7299999999999999E-2</v>
      </c>
      <c r="D49" s="5">
        <v>2.1700000000000001E-2</v>
      </c>
      <c r="E49" s="5">
        <v>1.12E-2</v>
      </c>
      <c r="F49" s="5">
        <v>1.0699999999999999E-2</v>
      </c>
      <c r="G49" s="5">
        <v>2.0500000000000001E-2</v>
      </c>
      <c r="H49" s="5">
        <v>1.95E-2</v>
      </c>
      <c r="I49" s="5">
        <v>2.7400000000000001E-2</v>
      </c>
      <c r="J49" s="5">
        <v>1.14E-2</v>
      </c>
      <c r="K49" s="5">
        <v>1.84E-2</v>
      </c>
    </row>
    <row r="50" spans="1:11" x14ac:dyDescent="0.3">
      <c r="A50" s="6">
        <v>2024</v>
      </c>
      <c r="B50" s="6">
        <v>7.1000000000000004E-3</v>
      </c>
      <c r="C50" s="6">
        <v>2.9399999999999999E-2</v>
      </c>
      <c r="D50" s="6">
        <v>2.2200000000000001E-2</v>
      </c>
      <c r="E50" s="6">
        <v>3.4099999999999998E-2</v>
      </c>
      <c r="F50" s="6">
        <v>1.0800000000000001E-2</v>
      </c>
      <c r="G50" s="6">
        <v>2.1000000000000001E-2</v>
      </c>
      <c r="H50" s="6">
        <v>3.3099999999999997E-2</v>
      </c>
      <c r="I50" s="6">
        <v>2.8199999999999999E-2</v>
      </c>
      <c r="J50" s="6">
        <v>1.72E-2</v>
      </c>
      <c r="K50" s="6">
        <v>3.7499999999999999E-2</v>
      </c>
    </row>
  </sheetData>
  <mergeCells count="1">
    <mergeCell ref="A1:I1"/>
  </mergeCells>
  <conditionalFormatting sqref="B5:H11">
    <cfRule type="colorScale" priority="1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4"/>
  <sheetViews>
    <sheetView showGridLines="0" workbookViewId="0"/>
  </sheetViews>
  <sheetFormatPr defaultRowHeight="14.4" x14ac:dyDescent="0.3"/>
  <cols>
    <col min="1" max="1" width="17" customWidth="1"/>
    <col min="2" max="7" width="12" customWidth="1"/>
  </cols>
  <sheetData>
    <row r="1" spans="1:7" ht="28.05" customHeight="1" x14ac:dyDescent="0.3">
      <c r="A1" s="14" t="s">
        <v>162</v>
      </c>
      <c r="B1" s="13"/>
      <c r="C1" s="13"/>
      <c r="D1" s="13"/>
      <c r="E1" s="13"/>
      <c r="F1" s="13"/>
      <c r="G1" s="13"/>
    </row>
    <row r="3" spans="1:7" x14ac:dyDescent="0.3">
      <c r="A3" s="1" t="s">
        <v>163</v>
      </c>
    </row>
    <row r="4" spans="1:7" ht="26.4" x14ac:dyDescent="0.3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</row>
    <row r="5" spans="1:7" x14ac:dyDescent="0.3">
      <c r="A5" s="5" t="s">
        <v>169</v>
      </c>
      <c r="B5" s="7">
        <v>7.3497999999999994E-2</v>
      </c>
      <c r="C5" s="7">
        <v>2.1225999999999998E-2</v>
      </c>
      <c r="D5" s="5">
        <v>714.2</v>
      </c>
      <c r="E5" s="5">
        <v>1415</v>
      </c>
    </row>
    <row r="6" spans="1:7" x14ac:dyDescent="0.3">
      <c r="A6" s="6" t="s">
        <v>170</v>
      </c>
      <c r="B6" s="8">
        <v>0.10385999999999999</v>
      </c>
      <c r="C6" s="8">
        <v>2.1569000000000001E-2</v>
      </c>
      <c r="D6" s="6">
        <v>715.8</v>
      </c>
      <c r="E6" s="6">
        <v>1425</v>
      </c>
    </row>
    <row r="7" spans="1:7" x14ac:dyDescent="0.3">
      <c r="A7" s="5" t="s">
        <v>171</v>
      </c>
      <c r="B7" s="7">
        <v>0.129993</v>
      </c>
      <c r="C7" s="7">
        <v>2.4999E-2</v>
      </c>
      <c r="D7" s="5">
        <v>713.8</v>
      </c>
      <c r="E7" s="5">
        <v>1377</v>
      </c>
    </row>
    <row r="8" spans="1:7" x14ac:dyDescent="0.3">
      <c r="A8" s="6" t="s">
        <v>172</v>
      </c>
      <c r="B8" s="8">
        <v>0.13084799999999999</v>
      </c>
      <c r="C8" s="8">
        <v>2.1406000000000001E-2</v>
      </c>
      <c r="D8" s="6">
        <v>714.2</v>
      </c>
      <c r="E8" s="6">
        <v>1368</v>
      </c>
    </row>
    <row r="9" spans="1:7" x14ac:dyDescent="0.3">
      <c r="A9" s="5" t="s">
        <v>173</v>
      </c>
      <c r="B9" s="7">
        <v>0.13880799999999999</v>
      </c>
      <c r="C9" s="7">
        <v>2.1165E-2</v>
      </c>
      <c r="D9" s="5">
        <v>714.5</v>
      </c>
      <c r="E9" s="5">
        <v>1376</v>
      </c>
    </row>
    <row r="10" spans="1:7" x14ac:dyDescent="0.3">
      <c r="A10" s="6" t="s">
        <v>174</v>
      </c>
      <c r="B10" s="8">
        <v>0.15363299999999999</v>
      </c>
      <c r="C10" s="8">
        <v>1.9368E-2</v>
      </c>
      <c r="D10" s="6">
        <v>715.5</v>
      </c>
      <c r="E10" s="6">
        <v>1445</v>
      </c>
    </row>
    <row r="11" spans="1:7" x14ac:dyDescent="0.3">
      <c r="A11" s="5" t="s">
        <v>175</v>
      </c>
      <c r="B11" s="7">
        <v>0.15018899999999999</v>
      </c>
      <c r="C11" s="7">
        <v>2.0226000000000001E-2</v>
      </c>
      <c r="D11" s="5">
        <v>717</v>
      </c>
      <c r="E11" s="5">
        <v>1325</v>
      </c>
    </row>
    <row r="12" spans="1:7" x14ac:dyDescent="0.3">
      <c r="A12" s="6" t="s">
        <v>176</v>
      </c>
      <c r="B12" s="8">
        <v>0.148563</v>
      </c>
      <c r="C12" s="8">
        <v>2.0313000000000001E-2</v>
      </c>
      <c r="D12" s="6">
        <v>713.7</v>
      </c>
      <c r="E12" s="6">
        <v>1427</v>
      </c>
    </row>
    <row r="13" spans="1:7" x14ac:dyDescent="0.3">
      <c r="A13" s="5" t="s">
        <v>177</v>
      </c>
      <c r="B13" s="7">
        <v>0.164106</v>
      </c>
      <c r="C13" s="7">
        <v>2.3272999999999999E-2</v>
      </c>
      <c r="D13" s="5">
        <v>713.3</v>
      </c>
      <c r="E13" s="5">
        <v>1432</v>
      </c>
    </row>
    <row r="14" spans="1:7" x14ac:dyDescent="0.3">
      <c r="A14" s="6" t="s">
        <v>178</v>
      </c>
      <c r="B14" s="8">
        <v>0.17238899999999999</v>
      </c>
      <c r="C14" s="8">
        <v>2.1819999999999999E-2</v>
      </c>
      <c r="D14" s="6">
        <v>714.8</v>
      </c>
      <c r="E14" s="6">
        <v>1398</v>
      </c>
    </row>
    <row r="15" spans="1:7" x14ac:dyDescent="0.3">
      <c r="A15" s="5" t="s">
        <v>179</v>
      </c>
      <c r="B15" s="7">
        <v>0.200434</v>
      </c>
      <c r="C15" s="7">
        <v>1.9789999999999999E-2</v>
      </c>
      <c r="D15" s="5">
        <v>717.7</v>
      </c>
      <c r="E15" s="5">
        <v>1382</v>
      </c>
    </row>
    <row r="16" spans="1:7" x14ac:dyDescent="0.3">
      <c r="A16" s="6" t="s">
        <v>180</v>
      </c>
      <c r="B16" s="8">
        <v>0.18254500000000001</v>
      </c>
      <c r="C16" s="8">
        <v>2.1052000000000001E-2</v>
      </c>
      <c r="D16" s="6">
        <v>715.9</v>
      </c>
      <c r="E16" s="6">
        <v>1375</v>
      </c>
    </row>
    <row r="17" spans="1:5" x14ac:dyDescent="0.3">
      <c r="A17" s="5" t="s">
        <v>181</v>
      </c>
      <c r="B17" s="7">
        <v>0.18079899999999999</v>
      </c>
      <c r="C17" s="7">
        <v>2.1374000000000001E-2</v>
      </c>
      <c r="D17" s="5">
        <v>715</v>
      </c>
      <c r="E17" s="5">
        <v>1427</v>
      </c>
    </row>
    <row r="18" spans="1:5" x14ac:dyDescent="0.3">
      <c r="A18" s="6" t="s">
        <v>182</v>
      </c>
      <c r="B18" s="8">
        <v>0.20296600000000001</v>
      </c>
      <c r="C18" s="8">
        <v>2.1593000000000001E-2</v>
      </c>
      <c r="D18" s="6">
        <v>716.2</v>
      </c>
      <c r="E18" s="6">
        <v>1281</v>
      </c>
    </row>
    <row r="19" spans="1:5" x14ac:dyDescent="0.3">
      <c r="A19" s="5" t="s">
        <v>183</v>
      </c>
      <c r="B19" s="7">
        <v>0.18670400000000001</v>
      </c>
      <c r="C19" s="7">
        <v>2.0653999999999999E-2</v>
      </c>
      <c r="D19" s="5">
        <v>715.8</v>
      </c>
      <c r="E19" s="5">
        <v>1414</v>
      </c>
    </row>
    <row r="20" spans="1:5" x14ac:dyDescent="0.3">
      <c r="A20" s="6" t="s">
        <v>184</v>
      </c>
      <c r="B20" s="8">
        <v>0.20028899999999999</v>
      </c>
      <c r="C20" s="8">
        <v>2.2258E-2</v>
      </c>
      <c r="D20" s="6">
        <v>713.7</v>
      </c>
      <c r="E20" s="6">
        <v>1383</v>
      </c>
    </row>
    <row r="21" spans="1:5" x14ac:dyDescent="0.3">
      <c r="A21" s="5" t="s">
        <v>185</v>
      </c>
      <c r="B21" s="7">
        <v>0.18856700000000001</v>
      </c>
      <c r="C21" s="7">
        <v>2.0538000000000001E-2</v>
      </c>
      <c r="D21" s="5">
        <v>715</v>
      </c>
      <c r="E21" s="5">
        <v>1347</v>
      </c>
    </row>
    <row r="22" spans="1:5" x14ac:dyDescent="0.3">
      <c r="A22" s="6" t="s">
        <v>186</v>
      </c>
      <c r="B22" s="8">
        <v>0.22100700000000001</v>
      </c>
      <c r="C22" s="8">
        <v>2.3310000000000001E-2</v>
      </c>
      <c r="D22" s="6">
        <v>714.6</v>
      </c>
      <c r="E22" s="6">
        <v>1371</v>
      </c>
    </row>
    <row r="23" spans="1:5" x14ac:dyDescent="0.3">
      <c r="A23" s="5" t="s">
        <v>187</v>
      </c>
      <c r="B23" s="7">
        <v>0.20486099999999999</v>
      </c>
      <c r="C23" s="7">
        <v>2.2526000000000001E-2</v>
      </c>
      <c r="D23" s="5">
        <v>715.8</v>
      </c>
      <c r="E23" s="5">
        <v>1440</v>
      </c>
    </row>
    <row r="24" spans="1:5" x14ac:dyDescent="0.3">
      <c r="A24" s="6" t="s">
        <v>188</v>
      </c>
      <c r="B24" s="8">
        <v>0.22445999999999999</v>
      </c>
      <c r="C24" s="8">
        <v>2.1690000000000001E-2</v>
      </c>
      <c r="D24" s="6">
        <v>714.7</v>
      </c>
      <c r="E24" s="6">
        <v>1390</v>
      </c>
    </row>
    <row r="25" spans="1:5" x14ac:dyDescent="0.3">
      <c r="A25" s="5" t="s">
        <v>189</v>
      </c>
      <c r="B25" s="7">
        <v>0.192166</v>
      </c>
      <c r="C25" s="7">
        <v>2.6502999999999999E-2</v>
      </c>
      <c r="D25" s="5">
        <v>716</v>
      </c>
      <c r="E25" s="5">
        <v>1353</v>
      </c>
    </row>
    <row r="26" spans="1:5" x14ac:dyDescent="0.3">
      <c r="A26" s="6" t="s">
        <v>190</v>
      </c>
      <c r="B26" s="8">
        <v>0.106017</v>
      </c>
      <c r="C26" s="8">
        <v>3.4091999999999997E-2</v>
      </c>
      <c r="D26" s="6">
        <v>714.2</v>
      </c>
      <c r="E26" s="6">
        <v>1396</v>
      </c>
    </row>
    <row r="27" spans="1:5" x14ac:dyDescent="0.3">
      <c r="A27" s="5" t="s">
        <v>191</v>
      </c>
      <c r="B27" s="7">
        <v>0.105114</v>
      </c>
      <c r="C27" s="7">
        <v>3.1043999999999999E-2</v>
      </c>
      <c r="D27" s="5">
        <v>714.1</v>
      </c>
      <c r="E27" s="5">
        <v>1408</v>
      </c>
    </row>
    <row r="28" spans="1:5" x14ac:dyDescent="0.3">
      <c r="A28" s="6" t="s">
        <v>192</v>
      </c>
      <c r="B28" s="8">
        <v>8.2621E-2</v>
      </c>
      <c r="C28" s="8">
        <v>3.1418000000000001E-2</v>
      </c>
      <c r="D28" s="6">
        <v>714.6</v>
      </c>
      <c r="E28" s="6">
        <v>1404</v>
      </c>
    </row>
    <row r="29" spans="1:5" x14ac:dyDescent="0.3">
      <c r="A29" s="5" t="s">
        <v>193</v>
      </c>
      <c r="B29" s="7">
        <v>6.8522E-2</v>
      </c>
      <c r="C29" s="7">
        <v>1.9503E-2</v>
      </c>
      <c r="D29" s="5">
        <v>717.5</v>
      </c>
      <c r="E29" s="5">
        <v>1401</v>
      </c>
    </row>
    <row r="30" spans="1:5" x14ac:dyDescent="0.3">
      <c r="A30" s="6" t="s">
        <v>194</v>
      </c>
      <c r="B30" s="8">
        <v>7.6211000000000001E-2</v>
      </c>
      <c r="C30" s="8">
        <v>2.1425E-2</v>
      </c>
      <c r="D30" s="6">
        <v>714.6</v>
      </c>
      <c r="E30" s="6">
        <v>1404</v>
      </c>
    </row>
    <row r="31" spans="1:5" x14ac:dyDescent="0.3">
      <c r="A31" s="5" t="s">
        <v>195</v>
      </c>
      <c r="B31" s="7">
        <v>7.4909000000000003E-2</v>
      </c>
      <c r="C31" s="7">
        <v>2.2502000000000001E-2</v>
      </c>
      <c r="D31" s="5">
        <v>714.7</v>
      </c>
      <c r="E31" s="5">
        <v>1375</v>
      </c>
    </row>
    <row r="32" spans="1:5" x14ac:dyDescent="0.3">
      <c r="A32" s="6" t="s">
        <v>196</v>
      </c>
      <c r="B32" s="8">
        <v>7.9479999999999995E-2</v>
      </c>
      <c r="C32" s="8">
        <v>2.2231000000000001E-2</v>
      </c>
      <c r="D32" s="6">
        <v>715.2</v>
      </c>
      <c r="E32" s="6">
        <v>1384</v>
      </c>
    </row>
    <row r="33" spans="1:7" x14ac:dyDescent="0.3">
      <c r="A33" s="5" t="s">
        <v>197</v>
      </c>
      <c r="B33" s="7">
        <v>6.7502000000000006E-2</v>
      </c>
      <c r="C33" s="7">
        <v>2.1363E-2</v>
      </c>
      <c r="D33" s="5">
        <v>715.2</v>
      </c>
      <c r="E33" s="5">
        <v>1437</v>
      </c>
    </row>
    <row r="34" spans="1:7" x14ac:dyDescent="0.3">
      <c r="A34" s="6" t="s">
        <v>198</v>
      </c>
      <c r="B34" s="8">
        <v>7.7670000000000003E-2</v>
      </c>
      <c r="C34" s="8">
        <v>2.4174000000000001E-2</v>
      </c>
      <c r="D34" s="6">
        <v>713</v>
      </c>
      <c r="E34" s="6">
        <v>1339</v>
      </c>
    </row>
    <row r="35" spans="1:7" x14ac:dyDescent="0.3">
      <c r="A35" s="5" t="s">
        <v>199</v>
      </c>
      <c r="B35" s="7">
        <v>7.1480000000000002E-2</v>
      </c>
      <c r="C35" s="7">
        <v>2.2217000000000001E-2</v>
      </c>
      <c r="D35" s="5">
        <v>716.2</v>
      </c>
      <c r="E35" s="5">
        <v>1399</v>
      </c>
    </row>
    <row r="36" spans="1:7" x14ac:dyDescent="0.3">
      <c r="A36" s="6" t="s">
        <v>200</v>
      </c>
      <c r="B36" s="8">
        <v>7.5930999999999998E-2</v>
      </c>
      <c r="C36" s="8">
        <v>2.0541E-2</v>
      </c>
      <c r="D36" s="6">
        <v>715.2</v>
      </c>
      <c r="E36" s="6">
        <v>1396</v>
      </c>
    </row>
    <row r="37" spans="1:7" x14ac:dyDescent="0.3">
      <c r="A37" s="5" t="s">
        <v>201</v>
      </c>
      <c r="B37" s="7">
        <v>7.7655000000000002E-2</v>
      </c>
      <c r="C37" s="7">
        <v>2.0251999999999999E-2</v>
      </c>
      <c r="D37" s="5">
        <v>713.5</v>
      </c>
      <c r="E37" s="5">
        <v>1262</v>
      </c>
    </row>
    <row r="38" spans="1:7" x14ac:dyDescent="0.3">
      <c r="A38" s="6" t="s">
        <v>202</v>
      </c>
      <c r="B38" s="8">
        <v>7.2597999999999996E-2</v>
      </c>
      <c r="C38" s="8">
        <v>2.2273000000000001E-2</v>
      </c>
      <c r="D38" s="6">
        <v>715.3</v>
      </c>
      <c r="E38" s="6">
        <v>1405</v>
      </c>
    </row>
    <row r="39" spans="1:7" x14ac:dyDescent="0.3">
      <c r="A39" s="5" t="s">
        <v>203</v>
      </c>
      <c r="B39" s="7">
        <v>6.3469999999999999E-2</v>
      </c>
      <c r="C39" s="7">
        <v>1.9088000000000001E-2</v>
      </c>
      <c r="D39" s="5">
        <v>713.5</v>
      </c>
      <c r="E39" s="5">
        <v>1418</v>
      </c>
    </row>
    <row r="40" spans="1:7" x14ac:dyDescent="0.3">
      <c r="A40" s="6" t="s">
        <v>204</v>
      </c>
      <c r="B40" s="8">
        <v>5.9817000000000002E-2</v>
      </c>
      <c r="C40" s="8">
        <v>1.9768000000000001E-2</v>
      </c>
      <c r="D40" s="6">
        <v>715.6</v>
      </c>
      <c r="E40" s="6">
        <v>1421</v>
      </c>
    </row>
    <row r="43" spans="1:7" x14ac:dyDescent="0.3">
      <c r="A43" s="1" t="s">
        <v>205</v>
      </c>
    </row>
    <row r="44" spans="1:7" ht="26.4" x14ac:dyDescent="0.3">
      <c r="A44" s="4" t="s">
        <v>206</v>
      </c>
      <c r="B44" s="4" t="s">
        <v>169</v>
      </c>
      <c r="C44" s="4" t="s">
        <v>182</v>
      </c>
      <c r="D44" s="4" t="s">
        <v>188</v>
      </c>
      <c r="E44" s="4" t="s">
        <v>190</v>
      </c>
      <c r="F44" s="4" t="s">
        <v>193</v>
      </c>
      <c r="G44" s="4" t="s">
        <v>201</v>
      </c>
    </row>
    <row r="45" spans="1:7" x14ac:dyDescent="0.3">
      <c r="A45" s="5">
        <v>1</v>
      </c>
      <c r="B45" s="7">
        <v>2.1199999999999999E-3</v>
      </c>
      <c r="C45" s="7">
        <v>7.8100000000000001E-4</v>
      </c>
      <c r="D45" s="7">
        <v>0</v>
      </c>
      <c r="E45" s="7">
        <v>5.0140000000000002E-3</v>
      </c>
      <c r="F45" s="7">
        <v>7.1400000000000001E-4</v>
      </c>
      <c r="G45" s="7">
        <v>2.3770000000000002E-3</v>
      </c>
    </row>
    <row r="46" spans="1:7" x14ac:dyDescent="0.3">
      <c r="A46" s="6">
        <v>2</v>
      </c>
      <c r="B46" s="8">
        <v>2.8270000000000001E-3</v>
      </c>
      <c r="C46" s="8">
        <v>2.3419999999999999E-3</v>
      </c>
      <c r="D46" s="8">
        <v>7.1900000000000002E-4</v>
      </c>
      <c r="E46" s="8">
        <v>7.1630000000000001E-3</v>
      </c>
      <c r="F46" s="8">
        <v>1.428E-3</v>
      </c>
      <c r="G46" s="8">
        <v>3.9620000000000002E-3</v>
      </c>
    </row>
    <row r="47" spans="1:7" x14ac:dyDescent="0.3">
      <c r="A47" s="5">
        <v>3</v>
      </c>
      <c r="B47" s="7">
        <v>2.8270000000000001E-3</v>
      </c>
      <c r="C47" s="7">
        <v>4.6839999999999998E-3</v>
      </c>
      <c r="D47" s="7">
        <v>2.8779999999999999E-3</v>
      </c>
      <c r="E47" s="7">
        <v>1.2178E-2</v>
      </c>
      <c r="F47" s="7">
        <v>2.1410000000000001E-3</v>
      </c>
      <c r="G47" s="7">
        <v>5.5469999999999998E-3</v>
      </c>
    </row>
    <row r="48" spans="1:7" x14ac:dyDescent="0.3">
      <c r="A48" s="6">
        <v>4</v>
      </c>
      <c r="B48" s="8">
        <v>3.5339999999999998E-3</v>
      </c>
      <c r="C48" s="8">
        <v>5.4640000000000001E-3</v>
      </c>
      <c r="D48" s="8">
        <v>1.8704999999999999E-2</v>
      </c>
      <c r="E48" s="8">
        <v>1.4326999999999999E-2</v>
      </c>
      <c r="F48" s="8">
        <v>4.9959999999999996E-3</v>
      </c>
      <c r="G48" s="8">
        <v>6.339E-3</v>
      </c>
    </row>
    <row r="49" spans="1:7" x14ac:dyDescent="0.3">
      <c r="A49" s="5">
        <v>5</v>
      </c>
      <c r="B49" s="7">
        <v>7.0670000000000004E-3</v>
      </c>
      <c r="C49" s="7">
        <v>1.0148000000000001E-2</v>
      </c>
      <c r="D49" s="7">
        <v>6.2590000000000007E-2</v>
      </c>
      <c r="E49" s="7">
        <v>1.6476000000000001E-2</v>
      </c>
      <c r="F49" s="7">
        <v>7.1380000000000002E-3</v>
      </c>
      <c r="G49" s="7">
        <v>8.7159999999999998E-3</v>
      </c>
    </row>
    <row r="50" spans="1:7" x14ac:dyDescent="0.3">
      <c r="A50" s="6">
        <v>6</v>
      </c>
      <c r="B50" s="8">
        <v>9.1870000000000007E-3</v>
      </c>
      <c r="C50" s="8">
        <v>1.171E-2</v>
      </c>
      <c r="D50" s="8">
        <v>0.10935300000000001</v>
      </c>
      <c r="E50" s="8">
        <v>1.7908E-2</v>
      </c>
      <c r="F50" s="8">
        <v>9.2790000000000008E-3</v>
      </c>
      <c r="G50" s="8">
        <v>1.0300999999999999E-2</v>
      </c>
    </row>
    <row r="51" spans="1:7" x14ac:dyDescent="0.3">
      <c r="A51" s="5">
        <v>7</v>
      </c>
      <c r="B51" s="7">
        <v>1.1306999999999999E-2</v>
      </c>
      <c r="C51" s="7">
        <v>1.4832E-2</v>
      </c>
      <c r="D51" s="7">
        <v>0.15323700000000001</v>
      </c>
      <c r="E51" s="7">
        <v>1.9341000000000001E-2</v>
      </c>
      <c r="F51" s="7">
        <v>1.0707E-2</v>
      </c>
      <c r="G51" s="7">
        <v>1.1886000000000001E-2</v>
      </c>
    </row>
    <row r="52" spans="1:7" x14ac:dyDescent="0.3">
      <c r="A52" s="6">
        <v>8</v>
      </c>
      <c r="B52" s="8">
        <v>1.3428000000000001E-2</v>
      </c>
      <c r="C52" s="8">
        <v>1.5613E-2</v>
      </c>
      <c r="D52" s="8">
        <v>0.17266200000000001</v>
      </c>
      <c r="E52" s="8">
        <v>2.2922999999999999E-2</v>
      </c>
      <c r="F52" s="8">
        <v>1.142E-2</v>
      </c>
      <c r="G52" s="8">
        <v>1.5055000000000001E-2</v>
      </c>
    </row>
    <row r="53" spans="1:7" x14ac:dyDescent="0.3">
      <c r="A53" s="5">
        <v>9</v>
      </c>
      <c r="B53" s="7">
        <v>1.4841E-2</v>
      </c>
      <c r="C53" s="7">
        <v>1.6393000000000001E-2</v>
      </c>
      <c r="D53" s="7">
        <v>0.17266200000000001</v>
      </c>
      <c r="E53" s="7">
        <v>2.7220999999999999E-2</v>
      </c>
      <c r="F53" s="7">
        <v>1.3561999999999999E-2</v>
      </c>
      <c r="G53" s="7">
        <v>1.6639999999999999E-2</v>
      </c>
    </row>
    <row r="54" spans="1:7" x14ac:dyDescent="0.3">
      <c r="A54" s="6">
        <v>10</v>
      </c>
      <c r="B54" s="8">
        <v>1.9081000000000001E-2</v>
      </c>
      <c r="C54" s="8">
        <v>1.7954999999999999E-2</v>
      </c>
      <c r="D54" s="8">
        <v>0.17482</v>
      </c>
      <c r="E54" s="8">
        <v>2.937E-2</v>
      </c>
      <c r="F54" s="8">
        <v>1.6417000000000001E-2</v>
      </c>
      <c r="G54" s="8">
        <v>1.9016999999999999E-2</v>
      </c>
    </row>
    <row r="55" spans="1:7" x14ac:dyDescent="0.3">
      <c r="A55" s="5">
        <v>11</v>
      </c>
      <c r="B55" s="7">
        <v>2.0494999999999999E-2</v>
      </c>
      <c r="C55" s="7">
        <v>2.1857999999999999E-2</v>
      </c>
      <c r="D55" s="7">
        <v>0.17554</v>
      </c>
      <c r="E55" s="7">
        <v>3.0802E-2</v>
      </c>
      <c r="F55" s="7">
        <v>1.9272000000000001E-2</v>
      </c>
      <c r="G55" s="7">
        <v>2.0601999999999999E-2</v>
      </c>
    </row>
    <row r="56" spans="1:7" x14ac:dyDescent="0.3">
      <c r="A56" s="6">
        <v>12</v>
      </c>
      <c r="B56" s="8">
        <v>2.1908E-2</v>
      </c>
      <c r="C56" s="8">
        <v>2.4199999999999999E-2</v>
      </c>
      <c r="D56" s="8">
        <v>0.176978</v>
      </c>
      <c r="E56" s="8">
        <v>3.1518999999999998E-2</v>
      </c>
      <c r="F56" s="8">
        <v>1.9986E-2</v>
      </c>
      <c r="G56" s="8">
        <v>2.2186999999999998E-2</v>
      </c>
    </row>
    <row r="57" spans="1:7" x14ac:dyDescent="0.3">
      <c r="A57" s="5">
        <v>13</v>
      </c>
      <c r="B57" s="7">
        <v>2.4028000000000001E-2</v>
      </c>
      <c r="C57" s="7">
        <v>2.6542E-2</v>
      </c>
      <c r="D57" s="7">
        <v>0.17769799999999999</v>
      </c>
      <c r="E57" s="7">
        <v>3.2951000000000001E-2</v>
      </c>
      <c r="F57" s="7">
        <v>1.9986E-2</v>
      </c>
      <c r="G57" s="7">
        <v>2.2186999999999998E-2</v>
      </c>
    </row>
    <row r="58" spans="1:7" x14ac:dyDescent="0.3">
      <c r="A58" s="6">
        <v>14</v>
      </c>
      <c r="B58" s="8">
        <v>2.4735E-2</v>
      </c>
      <c r="C58" s="8">
        <v>2.9663999999999999E-2</v>
      </c>
      <c r="D58" s="8">
        <v>0.17985599999999999</v>
      </c>
      <c r="E58" s="8">
        <v>3.7248999999999997E-2</v>
      </c>
      <c r="F58" s="8">
        <v>1.9986E-2</v>
      </c>
      <c r="G58" s="8">
        <v>2.2978999999999999E-2</v>
      </c>
    </row>
    <row r="59" spans="1:7" x14ac:dyDescent="0.3">
      <c r="A59" s="5">
        <v>15</v>
      </c>
      <c r="B59" s="7">
        <v>2.6855E-2</v>
      </c>
      <c r="C59" s="7">
        <v>3.2786999999999997E-2</v>
      </c>
      <c r="D59" s="7">
        <v>0.17985599999999999</v>
      </c>
      <c r="E59" s="7">
        <v>3.9398000000000002E-2</v>
      </c>
      <c r="F59" s="7">
        <v>2.1413000000000001E-2</v>
      </c>
      <c r="G59" s="7">
        <v>2.4563999999999999E-2</v>
      </c>
    </row>
    <row r="60" spans="1:7" x14ac:dyDescent="0.3">
      <c r="A60" s="6">
        <v>16</v>
      </c>
      <c r="B60" s="8">
        <v>2.8268999999999999E-2</v>
      </c>
      <c r="C60" s="8">
        <v>3.3568000000000001E-2</v>
      </c>
      <c r="D60" s="8">
        <v>0.18273400000000001</v>
      </c>
      <c r="E60" s="8">
        <v>4.1547000000000001E-2</v>
      </c>
      <c r="F60" s="8">
        <v>2.2841E-2</v>
      </c>
      <c r="G60" s="8">
        <v>2.6148999999999999E-2</v>
      </c>
    </row>
    <row r="61" spans="1:7" x14ac:dyDescent="0.3">
      <c r="A61" s="5">
        <v>17</v>
      </c>
      <c r="B61" s="7">
        <v>2.8975000000000001E-2</v>
      </c>
      <c r="C61" s="7">
        <v>3.4347999999999997E-2</v>
      </c>
      <c r="D61" s="7">
        <v>0.184892</v>
      </c>
      <c r="E61" s="7">
        <v>4.4413000000000001E-2</v>
      </c>
      <c r="F61" s="7">
        <v>2.5696E-2</v>
      </c>
      <c r="G61" s="7">
        <v>3.0110999999999999E-2</v>
      </c>
    </row>
    <row r="62" spans="1:7" x14ac:dyDescent="0.3">
      <c r="A62" s="6">
        <v>18</v>
      </c>
      <c r="B62" s="8">
        <v>3.1801999999999997E-2</v>
      </c>
      <c r="C62" s="8">
        <v>3.5129000000000001E-2</v>
      </c>
      <c r="D62" s="8">
        <v>0.186331</v>
      </c>
      <c r="E62" s="8">
        <v>4.7278000000000001E-2</v>
      </c>
      <c r="F62" s="8">
        <v>2.5696E-2</v>
      </c>
      <c r="G62" s="8">
        <v>3.2488000000000003E-2</v>
      </c>
    </row>
    <row r="63" spans="1:7" x14ac:dyDescent="0.3">
      <c r="A63" s="5">
        <v>19</v>
      </c>
      <c r="B63" s="7">
        <v>3.5335999999999999E-2</v>
      </c>
      <c r="C63" s="7">
        <v>3.5909000000000003E-2</v>
      </c>
      <c r="D63" s="7">
        <v>0.18848899999999999</v>
      </c>
      <c r="E63" s="7">
        <v>4.7994000000000002E-2</v>
      </c>
      <c r="F63" s="7">
        <v>2.5696E-2</v>
      </c>
      <c r="G63" s="7">
        <v>3.4865E-2</v>
      </c>
    </row>
    <row r="64" spans="1:7" x14ac:dyDescent="0.3">
      <c r="A64" s="6">
        <v>20</v>
      </c>
      <c r="B64" s="8">
        <v>3.6748999999999997E-2</v>
      </c>
      <c r="C64" s="8">
        <v>3.8251E-2</v>
      </c>
      <c r="D64" s="8">
        <v>0.19136700000000001</v>
      </c>
      <c r="E64" s="8">
        <v>4.8710999999999997E-2</v>
      </c>
      <c r="F64" s="8">
        <v>2.9978999999999999E-2</v>
      </c>
      <c r="G64" s="8">
        <v>3.7241999999999997E-2</v>
      </c>
    </row>
    <row r="65" spans="1:7" x14ac:dyDescent="0.3">
      <c r="A65" s="5">
        <v>21</v>
      </c>
      <c r="B65" s="7">
        <v>3.6748999999999997E-2</v>
      </c>
      <c r="C65" s="7">
        <v>3.9031999999999997E-2</v>
      </c>
      <c r="D65" s="7">
        <v>0.19208600000000001</v>
      </c>
      <c r="E65" s="7">
        <v>5.1575999999999997E-2</v>
      </c>
      <c r="F65" s="7">
        <v>3.1406000000000003E-2</v>
      </c>
      <c r="G65" s="7">
        <v>4.0411999999999997E-2</v>
      </c>
    </row>
    <row r="66" spans="1:7" x14ac:dyDescent="0.3">
      <c r="A66" s="6">
        <v>22</v>
      </c>
      <c r="B66" s="8">
        <v>3.8163000000000002E-2</v>
      </c>
      <c r="C66" s="8">
        <v>5.5425000000000002E-2</v>
      </c>
      <c r="D66" s="8">
        <v>0.193525</v>
      </c>
      <c r="E66" s="8">
        <v>5.4441000000000003E-2</v>
      </c>
      <c r="F66" s="8">
        <v>3.2120000000000003E-2</v>
      </c>
      <c r="G66" s="8">
        <v>4.2789000000000001E-2</v>
      </c>
    </row>
    <row r="67" spans="1:7" x14ac:dyDescent="0.3">
      <c r="A67" s="5">
        <v>23</v>
      </c>
      <c r="B67" s="7">
        <v>4.0282999999999999E-2</v>
      </c>
      <c r="C67" s="7">
        <v>8.7431999999999996E-2</v>
      </c>
      <c r="D67" s="7">
        <v>0.194964</v>
      </c>
      <c r="E67" s="7">
        <v>5.8739E-2</v>
      </c>
      <c r="F67" s="7">
        <v>3.2834000000000002E-2</v>
      </c>
      <c r="G67" s="7">
        <v>4.5165999999999998E-2</v>
      </c>
    </row>
    <row r="68" spans="1:7" x14ac:dyDescent="0.3">
      <c r="A68" s="6">
        <v>24</v>
      </c>
      <c r="B68" s="8">
        <v>4.0988999999999998E-2</v>
      </c>
      <c r="C68" s="8">
        <v>0.13427</v>
      </c>
      <c r="D68" s="8">
        <v>0.195683</v>
      </c>
      <c r="E68" s="8">
        <v>5.9456000000000002E-2</v>
      </c>
      <c r="F68" s="8">
        <v>3.4974999999999999E-2</v>
      </c>
      <c r="G68" s="8">
        <v>4.7544000000000003E-2</v>
      </c>
    </row>
    <row r="69" spans="1:7" x14ac:dyDescent="0.3">
      <c r="A69" s="5">
        <v>25</v>
      </c>
      <c r="B69" s="7">
        <v>4.5229999999999999E-2</v>
      </c>
      <c r="C69" s="7">
        <v>0.163934</v>
      </c>
      <c r="D69" s="7">
        <v>0.19712199999999999</v>
      </c>
      <c r="E69" s="7">
        <v>6.0172000000000003E-2</v>
      </c>
      <c r="F69" s="7">
        <v>3.7830000000000003E-2</v>
      </c>
      <c r="G69" s="7">
        <v>4.9921E-2</v>
      </c>
    </row>
    <row r="70" spans="1:7" x14ac:dyDescent="0.3">
      <c r="A70" s="6">
        <v>26</v>
      </c>
      <c r="B70" s="8">
        <v>4.5229999999999999E-2</v>
      </c>
      <c r="C70" s="8">
        <v>0.17408299999999999</v>
      </c>
      <c r="D70" s="8">
        <v>0.19928100000000001</v>
      </c>
      <c r="E70" s="8">
        <v>6.2321000000000001E-2</v>
      </c>
      <c r="F70" s="8">
        <v>3.8544000000000002E-2</v>
      </c>
      <c r="G70" s="8">
        <v>5.0713000000000001E-2</v>
      </c>
    </row>
    <row r="71" spans="1:7" x14ac:dyDescent="0.3">
      <c r="A71" s="5">
        <v>27</v>
      </c>
      <c r="B71" s="7">
        <v>4.6642999999999997E-2</v>
      </c>
      <c r="C71" s="7">
        <v>0.176425</v>
      </c>
      <c r="D71" s="7">
        <v>0.20071900000000001</v>
      </c>
      <c r="E71" s="7">
        <v>6.447E-2</v>
      </c>
      <c r="F71" s="7">
        <v>3.8544000000000002E-2</v>
      </c>
      <c r="G71" s="7">
        <v>5.1506000000000003E-2</v>
      </c>
    </row>
    <row r="72" spans="1:7" x14ac:dyDescent="0.3">
      <c r="A72" s="6">
        <v>28</v>
      </c>
      <c r="B72" s="8">
        <v>4.7350000000000003E-2</v>
      </c>
      <c r="C72" s="8">
        <v>0.17798600000000001</v>
      </c>
      <c r="D72" s="8">
        <v>0.20143900000000001</v>
      </c>
      <c r="E72" s="8">
        <v>6.7335000000000006E-2</v>
      </c>
      <c r="F72" s="8">
        <v>3.8544000000000002E-2</v>
      </c>
      <c r="G72" s="8">
        <v>5.3089999999999998E-2</v>
      </c>
    </row>
    <row r="73" spans="1:7" x14ac:dyDescent="0.3">
      <c r="A73" s="5">
        <v>29</v>
      </c>
      <c r="B73" s="7">
        <v>4.947E-2</v>
      </c>
      <c r="C73" s="7">
        <v>0.17876700000000001</v>
      </c>
      <c r="D73" s="7">
        <v>0.20143900000000001</v>
      </c>
      <c r="E73" s="7">
        <v>6.8052000000000001E-2</v>
      </c>
      <c r="F73" s="7">
        <v>4.2826999999999997E-2</v>
      </c>
      <c r="G73" s="7">
        <v>5.3089999999999998E-2</v>
      </c>
    </row>
    <row r="74" spans="1:7" x14ac:dyDescent="0.3">
      <c r="A74" s="6">
        <v>30</v>
      </c>
      <c r="B74" s="8">
        <v>5.0176999999999999E-2</v>
      </c>
      <c r="C74" s="8">
        <v>0.17876700000000001</v>
      </c>
      <c r="D74" s="8">
        <v>0.202158</v>
      </c>
      <c r="E74" s="8">
        <v>7.0201E-2</v>
      </c>
      <c r="F74" s="8">
        <v>4.3540000000000002E-2</v>
      </c>
      <c r="G74" s="8">
        <v>5.3883E-2</v>
      </c>
    </row>
    <row r="75" spans="1:7" x14ac:dyDescent="0.3">
      <c r="A75" s="5">
        <v>31</v>
      </c>
      <c r="B75" s="7">
        <v>5.0882999999999998E-2</v>
      </c>
      <c r="C75" s="7">
        <v>0.17954700000000001</v>
      </c>
      <c r="D75" s="7">
        <v>0.202878</v>
      </c>
      <c r="E75" s="7">
        <v>7.3066000000000006E-2</v>
      </c>
      <c r="F75" s="7">
        <v>4.4254000000000002E-2</v>
      </c>
      <c r="G75" s="7">
        <v>5.6259999999999998E-2</v>
      </c>
    </row>
    <row r="76" spans="1:7" x14ac:dyDescent="0.3">
      <c r="A76" s="6">
        <v>32</v>
      </c>
      <c r="B76" s="8">
        <v>5.1589999999999997E-2</v>
      </c>
      <c r="C76" s="8">
        <v>0.18110899999999999</v>
      </c>
      <c r="D76" s="8">
        <v>0.202878</v>
      </c>
      <c r="E76" s="8">
        <v>7.5930999999999998E-2</v>
      </c>
      <c r="F76" s="8">
        <v>4.7822999999999997E-2</v>
      </c>
      <c r="G76" s="8">
        <v>5.7845000000000001E-2</v>
      </c>
    </row>
    <row r="77" spans="1:7" x14ac:dyDescent="0.3">
      <c r="A77" s="5">
        <v>33</v>
      </c>
      <c r="B77" s="7">
        <v>5.2297000000000003E-2</v>
      </c>
      <c r="C77" s="7">
        <v>0.181889</v>
      </c>
      <c r="D77" s="7">
        <v>0.203597</v>
      </c>
      <c r="E77" s="7">
        <v>7.7364000000000002E-2</v>
      </c>
      <c r="F77" s="7">
        <v>4.9251000000000003E-2</v>
      </c>
      <c r="G77" s="7">
        <v>5.7845000000000001E-2</v>
      </c>
    </row>
    <row r="78" spans="1:7" x14ac:dyDescent="0.3">
      <c r="A78" s="6">
        <v>34</v>
      </c>
      <c r="B78" s="8">
        <v>5.5123999999999999E-2</v>
      </c>
      <c r="C78" s="8">
        <v>0.181889</v>
      </c>
      <c r="D78" s="8">
        <v>0.203597</v>
      </c>
      <c r="E78" s="8">
        <v>7.8079999999999997E-2</v>
      </c>
      <c r="F78" s="8">
        <v>5.1392E-2</v>
      </c>
      <c r="G78" s="8">
        <v>6.0221999999999998E-2</v>
      </c>
    </row>
    <row r="79" spans="1:7" x14ac:dyDescent="0.3">
      <c r="A79" s="5">
        <v>35</v>
      </c>
      <c r="B79" s="7">
        <v>5.7951000000000003E-2</v>
      </c>
      <c r="C79" s="7">
        <v>0.18267</v>
      </c>
      <c r="D79" s="7">
        <v>0.205036</v>
      </c>
      <c r="E79" s="7">
        <v>8.2378000000000007E-2</v>
      </c>
      <c r="F79" s="7">
        <v>5.1392E-2</v>
      </c>
      <c r="G79" s="7">
        <v>6.0221999999999998E-2</v>
      </c>
    </row>
    <row r="80" spans="1:7" x14ac:dyDescent="0.3">
      <c r="A80" s="6">
        <v>36</v>
      </c>
      <c r="B80" s="8">
        <v>5.7951000000000003E-2</v>
      </c>
      <c r="C80" s="8">
        <v>0.18501200000000001</v>
      </c>
      <c r="D80" s="8">
        <v>0.20719399999999999</v>
      </c>
      <c r="E80" s="8">
        <v>8.3810999999999997E-2</v>
      </c>
      <c r="F80" s="8">
        <v>5.2106E-2</v>
      </c>
      <c r="G80" s="8">
        <v>6.1013999999999999E-2</v>
      </c>
    </row>
    <row r="81" spans="1:7" x14ac:dyDescent="0.3">
      <c r="A81" s="5">
        <v>37</v>
      </c>
      <c r="B81" s="7">
        <v>5.8657000000000001E-2</v>
      </c>
      <c r="C81" s="7">
        <v>0.18735399999999999</v>
      </c>
      <c r="D81" s="7">
        <v>0.20863300000000001</v>
      </c>
      <c r="E81" s="7">
        <v>8.5959999999999995E-2</v>
      </c>
      <c r="F81" s="7">
        <v>5.2818999999999998E-2</v>
      </c>
      <c r="G81" s="7">
        <v>6.1807000000000001E-2</v>
      </c>
    </row>
    <row r="82" spans="1:7" x14ac:dyDescent="0.3">
      <c r="A82" s="6">
        <v>38</v>
      </c>
      <c r="B82" s="8">
        <v>5.9364E-2</v>
      </c>
      <c r="C82" s="8">
        <v>0.188915</v>
      </c>
      <c r="D82" s="8">
        <v>0.20863300000000001</v>
      </c>
      <c r="E82" s="8">
        <v>8.8825000000000001E-2</v>
      </c>
      <c r="F82" s="8">
        <v>5.3532999999999997E-2</v>
      </c>
      <c r="G82" s="8">
        <v>6.1807000000000001E-2</v>
      </c>
    </row>
    <row r="83" spans="1:7" x14ac:dyDescent="0.3">
      <c r="A83" s="5">
        <v>39</v>
      </c>
      <c r="B83" s="7">
        <v>6.0776999999999998E-2</v>
      </c>
      <c r="C83" s="7">
        <v>0.19125700000000001</v>
      </c>
      <c r="D83" s="7">
        <v>0.20935300000000001</v>
      </c>
      <c r="E83" s="7">
        <v>9.0258000000000005E-2</v>
      </c>
      <c r="F83" s="7">
        <v>5.4961000000000003E-2</v>
      </c>
      <c r="G83" s="7">
        <v>6.1807000000000001E-2</v>
      </c>
    </row>
    <row r="84" spans="1:7" x14ac:dyDescent="0.3">
      <c r="A84" s="6">
        <v>40</v>
      </c>
      <c r="B84" s="8">
        <v>6.1483999999999997E-2</v>
      </c>
      <c r="C84" s="8">
        <v>0.19125700000000001</v>
      </c>
      <c r="D84" s="8">
        <v>0.21079100000000001</v>
      </c>
      <c r="E84" s="8">
        <v>9.1690999999999995E-2</v>
      </c>
      <c r="F84" s="8">
        <v>5.5675000000000002E-2</v>
      </c>
      <c r="G84" s="8">
        <v>6.3391000000000003E-2</v>
      </c>
    </row>
    <row r="85" spans="1:7" x14ac:dyDescent="0.3">
      <c r="A85" s="5">
        <v>41</v>
      </c>
      <c r="B85" s="7">
        <v>6.1483999999999997E-2</v>
      </c>
      <c r="C85" s="7">
        <v>0.19281799999999999</v>
      </c>
      <c r="D85" s="7">
        <v>0.211511</v>
      </c>
      <c r="E85" s="7">
        <v>9.2407000000000003E-2</v>
      </c>
      <c r="F85" s="7">
        <v>5.6388000000000001E-2</v>
      </c>
      <c r="G85" s="7">
        <v>6.3391000000000003E-2</v>
      </c>
    </row>
    <row r="86" spans="1:7" x14ac:dyDescent="0.3">
      <c r="A86" s="6">
        <v>42</v>
      </c>
      <c r="B86" s="8">
        <v>6.2897999999999996E-2</v>
      </c>
      <c r="C86" s="8">
        <v>0.19359899999999999</v>
      </c>
      <c r="D86" s="8">
        <v>0.21295</v>
      </c>
      <c r="E86" s="8">
        <v>9.4556000000000001E-2</v>
      </c>
      <c r="F86" s="8">
        <v>5.7102E-2</v>
      </c>
      <c r="G86" s="8">
        <v>6.3391000000000003E-2</v>
      </c>
    </row>
    <row r="87" spans="1:7" x14ac:dyDescent="0.3">
      <c r="A87" s="5">
        <v>43</v>
      </c>
      <c r="B87" s="7">
        <v>6.3603999999999994E-2</v>
      </c>
      <c r="C87" s="7">
        <v>0.19359899999999999</v>
      </c>
      <c r="D87" s="7">
        <v>0.21295</v>
      </c>
      <c r="E87" s="7">
        <v>9.4556000000000001E-2</v>
      </c>
      <c r="F87" s="7">
        <v>5.7815999999999999E-2</v>
      </c>
      <c r="G87" s="7">
        <v>6.4184000000000005E-2</v>
      </c>
    </row>
    <row r="88" spans="1:7" x14ac:dyDescent="0.3">
      <c r="A88" s="6">
        <v>44</v>
      </c>
      <c r="B88" s="8">
        <v>6.5724000000000005E-2</v>
      </c>
      <c r="C88" s="8">
        <v>0.19359899999999999</v>
      </c>
      <c r="D88" s="8">
        <v>0.21510799999999999</v>
      </c>
      <c r="E88" s="8">
        <v>9.5271999999999996E-2</v>
      </c>
      <c r="F88" s="8">
        <v>5.7815999999999999E-2</v>
      </c>
      <c r="G88" s="8">
        <v>6.5768999999999994E-2</v>
      </c>
    </row>
    <row r="89" spans="1:7" x14ac:dyDescent="0.3">
      <c r="A89" s="5">
        <v>45</v>
      </c>
      <c r="B89" s="7">
        <v>6.6431000000000004E-2</v>
      </c>
      <c r="C89" s="7">
        <v>0.194379</v>
      </c>
      <c r="D89" s="7">
        <v>0.21582699999999999</v>
      </c>
      <c r="E89" s="7">
        <v>9.6704999999999999E-2</v>
      </c>
      <c r="F89" s="7">
        <v>5.8529999999999999E-2</v>
      </c>
      <c r="G89" s="7">
        <v>6.8145999999999998E-2</v>
      </c>
    </row>
    <row r="90" spans="1:7" x14ac:dyDescent="0.3">
      <c r="A90" s="6">
        <v>46</v>
      </c>
      <c r="B90" s="8">
        <v>6.7138000000000003E-2</v>
      </c>
      <c r="C90" s="8">
        <v>0.195941</v>
      </c>
      <c r="D90" s="8">
        <v>0.21654699999999999</v>
      </c>
      <c r="E90" s="8">
        <v>9.7420999999999994E-2</v>
      </c>
      <c r="F90" s="8">
        <v>5.8529999999999999E-2</v>
      </c>
      <c r="G90" s="8">
        <v>6.8937999999999999E-2</v>
      </c>
    </row>
    <row r="91" spans="1:7" x14ac:dyDescent="0.3">
      <c r="A91" s="5">
        <v>47</v>
      </c>
      <c r="B91" s="7">
        <v>6.7138000000000003E-2</v>
      </c>
      <c r="C91" s="7">
        <v>0.19828299999999999</v>
      </c>
      <c r="D91" s="7">
        <v>0.21798600000000001</v>
      </c>
      <c r="E91" s="7">
        <v>9.8853999999999997E-2</v>
      </c>
      <c r="F91" s="7">
        <v>5.9242999999999997E-2</v>
      </c>
      <c r="G91" s="7">
        <v>6.9731000000000001E-2</v>
      </c>
    </row>
    <row r="92" spans="1:7" x14ac:dyDescent="0.3">
      <c r="A92" s="6">
        <v>48</v>
      </c>
      <c r="B92" s="8">
        <v>6.7845000000000003E-2</v>
      </c>
      <c r="C92" s="8">
        <v>0.19906299999999999</v>
      </c>
      <c r="D92" s="8">
        <v>0.21798600000000001</v>
      </c>
      <c r="E92" s="8">
        <v>0.100287</v>
      </c>
      <c r="F92" s="8">
        <v>5.9957000000000003E-2</v>
      </c>
      <c r="G92" s="8">
        <v>7.0523000000000002E-2</v>
      </c>
    </row>
    <row r="93" spans="1:7" x14ac:dyDescent="0.3">
      <c r="A93" s="5">
        <v>49</v>
      </c>
      <c r="B93" s="7">
        <v>6.8551000000000001E-2</v>
      </c>
      <c r="C93" s="7">
        <v>0.19984399999999999</v>
      </c>
      <c r="D93" s="7">
        <v>0.21798600000000001</v>
      </c>
      <c r="E93" s="7">
        <v>0.100287</v>
      </c>
      <c r="F93" s="7">
        <v>6.1385000000000002E-2</v>
      </c>
      <c r="G93" s="7">
        <v>7.1315000000000003E-2</v>
      </c>
    </row>
    <row r="94" spans="1:7" x14ac:dyDescent="0.3">
      <c r="A94" s="6">
        <v>50</v>
      </c>
      <c r="B94" s="8">
        <v>6.9258E-2</v>
      </c>
      <c r="C94" s="8">
        <v>0.19984399999999999</v>
      </c>
      <c r="D94" s="8">
        <v>0.21870500000000001</v>
      </c>
      <c r="E94" s="8">
        <v>0.101719</v>
      </c>
      <c r="F94" s="8">
        <v>6.1385000000000002E-2</v>
      </c>
      <c r="G94" s="8">
        <v>7.2108000000000005E-2</v>
      </c>
    </row>
    <row r="95" spans="1:7" x14ac:dyDescent="0.3">
      <c r="A95" s="5">
        <v>51</v>
      </c>
      <c r="B95" s="7">
        <v>6.9258E-2</v>
      </c>
      <c r="C95" s="7">
        <v>0.200625</v>
      </c>
      <c r="D95" s="7">
        <v>0.21942400000000001</v>
      </c>
      <c r="E95" s="7">
        <v>0.101719</v>
      </c>
      <c r="F95" s="7">
        <v>6.2099000000000001E-2</v>
      </c>
      <c r="G95" s="7">
        <v>7.2108000000000005E-2</v>
      </c>
    </row>
    <row r="96" spans="1:7" x14ac:dyDescent="0.3">
      <c r="A96" s="6">
        <v>52</v>
      </c>
      <c r="B96" s="8">
        <v>6.9258E-2</v>
      </c>
      <c r="C96" s="8">
        <v>0.200625</v>
      </c>
      <c r="D96" s="8">
        <v>0.21942400000000001</v>
      </c>
      <c r="E96" s="8">
        <v>0.10315199999999999</v>
      </c>
      <c r="F96" s="8">
        <v>6.2812000000000007E-2</v>
      </c>
      <c r="G96" s="8">
        <v>7.2108000000000005E-2</v>
      </c>
    </row>
    <row r="97" spans="1:7" x14ac:dyDescent="0.3">
      <c r="A97" s="5">
        <v>53</v>
      </c>
      <c r="B97" s="7">
        <v>6.9964999999999999E-2</v>
      </c>
      <c r="C97" s="7">
        <v>0.201405</v>
      </c>
      <c r="D97" s="7">
        <v>0.21942400000000001</v>
      </c>
      <c r="E97" s="7">
        <v>0.103868</v>
      </c>
      <c r="F97" s="7">
        <v>6.3525999999999999E-2</v>
      </c>
      <c r="G97" s="7">
        <v>7.2108000000000005E-2</v>
      </c>
    </row>
    <row r="98" spans="1:7" x14ac:dyDescent="0.3">
      <c r="A98" s="6">
        <v>54</v>
      </c>
      <c r="B98" s="8">
        <v>7.0670999999999998E-2</v>
      </c>
      <c r="C98" s="8">
        <v>0.201405</v>
      </c>
      <c r="D98" s="8">
        <v>0.221583</v>
      </c>
      <c r="E98" s="8">
        <v>0.10530100000000001</v>
      </c>
      <c r="F98" s="8">
        <v>6.4240000000000005E-2</v>
      </c>
      <c r="G98" s="8">
        <v>7.2108000000000005E-2</v>
      </c>
    </row>
    <row r="99" spans="1:7" x14ac:dyDescent="0.3">
      <c r="A99" s="5">
        <v>55</v>
      </c>
      <c r="B99" s="7">
        <v>7.0670999999999998E-2</v>
      </c>
      <c r="C99" s="7">
        <v>0.202186</v>
      </c>
      <c r="D99" s="7">
        <v>0.221583</v>
      </c>
      <c r="E99" s="7">
        <v>0.10530100000000001</v>
      </c>
      <c r="F99" s="7">
        <v>6.6380999999999996E-2</v>
      </c>
      <c r="G99" s="7">
        <v>7.3692999999999995E-2</v>
      </c>
    </row>
    <row r="100" spans="1:7" x14ac:dyDescent="0.3">
      <c r="A100" s="6">
        <v>56</v>
      </c>
      <c r="B100" s="8">
        <v>7.0670999999999998E-2</v>
      </c>
      <c r="C100" s="8">
        <v>0.20296600000000001</v>
      </c>
      <c r="D100" s="8">
        <v>0.223022</v>
      </c>
      <c r="E100" s="8">
        <v>0.10530100000000001</v>
      </c>
      <c r="F100" s="8">
        <v>6.6380999999999996E-2</v>
      </c>
      <c r="G100" s="8">
        <v>7.5276999999999997E-2</v>
      </c>
    </row>
    <row r="101" spans="1:7" x14ac:dyDescent="0.3">
      <c r="A101" s="5">
        <v>57</v>
      </c>
      <c r="B101" s="7">
        <v>7.1377999999999997E-2</v>
      </c>
      <c r="C101" s="7">
        <v>0.20296600000000001</v>
      </c>
      <c r="D101" s="7">
        <v>0.223022</v>
      </c>
      <c r="E101" s="7">
        <v>0.106017</v>
      </c>
      <c r="F101" s="7">
        <v>6.7095000000000002E-2</v>
      </c>
      <c r="G101" s="7">
        <v>7.5276999999999997E-2</v>
      </c>
    </row>
    <row r="102" spans="1:7" x14ac:dyDescent="0.3">
      <c r="A102" s="6">
        <v>58</v>
      </c>
      <c r="B102" s="8">
        <v>7.2084999999999996E-2</v>
      </c>
      <c r="C102" s="8">
        <v>0.20296600000000001</v>
      </c>
      <c r="D102" s="8">
        <v>0.223741</v>
      </c>
      <c r="E102" s="8">
        <v>0.106017</v>
      </c>
      <c r="F102" s="8">
        <v>6.7095000000000002E-2</v>
      </c>
      <c r="G102" s="8">
        <v>7.6069999999999999E-2</v>
      </c>
    </row>
    <row r="103" spans="1:7" x14ac:dyDescent="0.3">
      <c r="A103" s="5">
        <v>59</v>
      </c>
      <c r="B103" s="7">
        <v>7.2084999999999996E-2</v>
      </c>
      <c r="C103" s="7">
        <v>0.20296600000000001</v>
      </c>
      <c r="D103" s="7">
        <v>0.223741</v>
      </c>
      <c r="E103" s="7">
        <v>0.106017</v>
      </c>
      <c r="F103" s="7">
        <v>6.7808999999999994E-2</v>
      </c>
      <c r="G103" s="7">
        <v>7.6862E-2</v>
      </c>
    </row>
    <row r="104" spans="1:7" x14ac:dyDescent="0.3">
      <c r="A104" s="6">
        <v>60</v>
      </c>
      <c r="B104" s="8">
        <v>7.3497999999999994E-2</v>
      </c>
      <c r="C104" s="8">
        <v>0.20296600000000001</v>
      </c>
      <c r="D104" s="8">
        <v>0.22445999999999999</v>
      </c>
      <c r="E104" s="8">
        <v>0.106017</v>
      </c>
      <c r="F104" s="8">
        <v>6.8522E-2</v>
      </c>
      <c r="G104" s="8">
        <v>7.7655000000000002E-2</v>
      </c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showGridLines="0" workbookViewId="0"/>
  </sheetViews>
  <sheetFormatPr defaultRowHeight="14.4" x14ac:dyDescent="0.3"/>
  <cols>
    <col min="1" max="7" width="13" customWidth="1"/>
  </cols>
  <sheetData>
    <row r="1" spans="1:8" ht="28.05" customHeight="1" x14ac:dyDescent="0.3">
      <c r="A1" s="14" t="s">
        <v>207</v>
      </c>
      <c r="B1" s="13"/>
      <c r="C1" s="13"/>
      <c r="D1" s="13"/>
      <c r="E1" s="13"/>
      <c r="F1" s="13"/>
      <c r="G1" s="13"/>
      <c r="H1" s="13"/>
    </row>
    <row r="3" spans="1:8" x14ac:dyDescent="0.3">
      <c r="A3" s="1" t="s">
        <v>208</v>
      </c>
    </row>
    <row r="4" spans="1:8" ht="26.4" x14ac:dyDescent="0.3">
      <c r="A4" s="4" t="s">
        <v>209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</row>
    <row r="5" spans="1:8" x14ac:dyDescent="0.3">
      <c r="A5" s="5" t="s">
        <v>216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-10.18</v>
      </c>
    </row>
    <row r="6" spans="1:8" x14ac:dyDescent="0.3">
      <c r="A6" s="6" t="s">
        <v>217</v>
      </c>
      <c r="B6" s="6">
        <v>-1.5</v>
      </c>
      <c r="C6" s="6">
        <v>1.5</v>
      </c>
      <c r="D6" s="6">
        <v>0.5</v>
      </c>
      <c r="E6" s="6">
        <v>50</v>
      </c>
      <c r="F6" s="6">
        <v>1.198</v>
      </c>
      <c r="G6" s="6">
        <v>10.363</v>
      </c>
    </row>
    <row r="7" spans="1:8" x14ac:dyDescent="0.3">
      <c r="A7" s="5" t="s">
        <v>218</v>
      </c>
      <c r="B7" s="5">
        <v>-3.5</v>
      </c>
      <c r="C7" s="5">
        <v>3</v>
      </c>
      <c r="D7" s="5">
        <v>1.5</v>
      </c>
      <c r="E7" s="5">
        <v>150</v>
      </c>
      <c r="F7" s="5">
        <v>1.494</v>
      </c>
      <c r="G7" s="5">
        <v>42.253999999999998</v>
      </c>
    </row>
    <row r="8" spans="1:8" x14ac:dyDescent="0.3">
      <c r="A8" s="6" t="s">
        <v>219</v>
      </c>
      <c r="B8" s="6">
        <v>-6</v>
      </c>
      <c r="C8" s="6">
        <v>5.5</v>
      </c>
      <c r="D8" s="6">
        <v>3</v>
      </c>
      <c r="E8" s="6">
        <v>300</v>
      </c>
      <c r="F8" s="6">
        <v>1.9910000000000001</v>
      </c>
      <c r="G8" s="6">
        <v>97.415999999999997</v>
      </c>
    </row>
    <row r="9" spans="1:8" x14ac:dyDescent="0.3">
      <c r="A9" s="5" t="s">
        <v>220</v>
      </c>
      <c r="B9" s="5">
        <v>-5</v>
      </c>
      <c r="C9" s="5">
        <v>5</v>
      </c>
      <c r="D9" s="5">
        <v>-1</v>
      </c>
      <c r="E9" s="5">
        <v>400</v>
      </c>
      <c r="F9" s="5">
        <v>1.806</v>
      </c>
      <c r="G9" s="5">
        <v>76.248000000000005</v>
      </c>
    </row>
    <row r="10" spans="1:8" x14ac:dyDescent="0.3">
      <c r="A10" s="6" t="s">
        <v>221</v>
      </c>
      <c r="B10" s="6">
        <v>-8</v>
      </c>
      <c r="C10" s="6">
        <v>8</v>
      </c>
      <c r="D10" s="6">
        <v>-2</v>
      </c>
      <c r="E10" s="6">
        <v>200</v>
      </c>
      <c r="F10" s="6">
        <v>2.5259999999999998</v>
      </c>
      <c r="G10" s="6">
        <v>158.33500000000001</v>
      </c>
    </row>
    <row r="13" spans="1:8" x14ac:dyDescent="0.3">
      <c r="A13" s="1" t="s">
        <v>222</v>
      </c>
    </row>
    <row r="14" spans="1:8" x14ac:dyDescent="0.3">
      <c r="A14" s="4" t="s">
        <v>223</v>
      </c>
      <c r="B14" s="4" t="s">
        <v>216</v>
      </c>
      <c r="C14" s="4" t="s">
        <v>217</v>
      </c>
      <c r="D14" s="4" t="s">
        <v>218</v>
      </c>
      <c r="E14" s="4" t="s">
        <v>219</v>
      </c>
      <c r="F14" s="4" t="s">
        <v>220</v>
      </c>
      <c r="G14" s="4" t="s">
        <v>221</v>
      </c>
    </row>
    <row r="15" spans="1:8" x14ac:dyDescent="0.3">
      <c r="A15" s="5" t="s">
        <v>114</v>
      </c>
      <c r="B15" s="5">
        <v>-13.4</v>
      </c>
      <c r="C15" s="5">
        <v>4.4000000000000004</v>
      </c>
      <c r="D15" s="5">
        <v>31.5</v>
      </c>
      <c r="E15" s="5">
        <v>78</v>
      </c>
      <c r="F15" s="5">
        <v>60.4</v>
      </c>
      <c r="G15" s="5">
        <v>128.80000000000001</v>
      </c>
    </row>
    <row r="16" spans="1:8" x14ac:dyDescent="0.3">
      <c r="A16" s="6" t="s">
        <v>108</v>
      </c>
      <c r="B16" s="6">
        <v>-11.8</v>
      </c>
      <c r="C16" s="6">
        <v>10.8</v>
      </c>
      <c r="D16" s="6">
        <v>46.6</v>
      </c>
      <c r="E16" s="6">
        <v>109</v>
      </c>
      <c r="F16" s="6">
        <v>84.7</v>
      </c>
      <c r="G16" s="6">
        <v>178.6</v>
      </c>
    </row>
    <row r="17" spans="1:7" x14ac:dyDescent="0.3">
      <c r="A17" s="5" t="s">
        <v>117</v>
      </c>
      <c r="B17" s="5">
        <v>-4.2</v>
      </c>
      <c r="C17" s="5">
        <v>19.399999999999999</v>
      </c>
      <c r="D17" s="5">
        <v>56.5</v>
      </c>
      <c r="E17" s="5">
        <v>121</v>
      </c>
      <c r="F17" s="5">
        <v>96</v>
      </c>
      <c r="G17" s="5">
        <v>192.6</v>
      </c>
    </row>
    <row r="18" spans="1:7" x14ac:dyDescent="0.3">
      <c r="A18" s="6" t="s">
        <v>123</v>
      </c>
      <c r="B18" s="6">
        <v>-6.8</v>
      </c>
      <c r="C18" s="6">
        <v>11.8</v>
      </c>
      <c r="D18" s="6">
        <v>40</v>
      </c>
      <c r="E18" s="6">
        <v>88.1</v>
      </c>
      <c r="F18" s="6">
        <v>70</v>
      </c>
      <c r="G18" s="6">
        <v>140.6</v>
      </c>
    </row>
    <row r="19" spans="1:7" x14ac:dyDescent="0.3">
      <c r="A19" s="5" t="s">
        <v>120</v>
      </c>
      <c r="B19" s="5">
        <v>-12.3</v>
      </c>
      <c r="C19" s="5">
        <v>7.4</v>
      </c>
      <c r="D19" s="5">
        <v>38.1</v>
      </c>
      <c r="E19" s="5">
        <v>91</v>
      </c>
      <c r="F19" s="5">
        <v>70.7</v>
      </c>
      <c r="G19" s="5">
        <v>149.19999999999999</v>
      </c>
    </row>
    <row r="20" spans="1:7" x14ac:dyDescent="0.3">
      <c r="A20" s="6" t="s">
        <v>129</v>
      </c>
      <c r="B20" s="6">
        <v>-12.4</v>
      </c>
      <c r="C20" s="6">
        <v>11.1</v>
      </c>
      <c r="D20" s="6">
        <v>48.5</v>
      </c>
      <c r="E20" s="6">
        <v>114</v>
      </c>
      <c r="F20" s="6">
        <v>88.3</v>
      </c>
      <c r="G20" s="6">
        <v>187.4</v>
      </c>
    </row>
    <row r="21" spans="1:7" x14ac:dyDescent="0.3">
      <c r="A21" s="5" t="s">
        <v>128</v>
      </c>
      <c r="B21" s="5">
        <v>-12</v>
      </c>
      <c r="C21" s="5">
        <v>6.3</v>
      </c>
      <c r="D21" s="5">
        <v>34.200000000000003</v>
      </c>
      <c r="E21" s="5">
        <v>82</v>
      </c>
      <c r="F21" s="5">
        <v>63.9</v>
      </c>
      <c r="G21" s="5">
        <v>134.19999999999999</v>
      </c>
    </row>
    <row r="22" spans="1:7" x14ac:dyDescent="0.3">
      <c r="A22" s="6" t="s">
        <v>125</v>
      </c>
      <c r="B22" s="6">
        <v>-15.6</v>
      </c>
      <c r="C22" s="6">
        <v>2.4</v>
      </c>
      <c r="D22" s="6">
        <v>30.1</v>
      </c>
      <c r="E22" s="6">
        <v>77.5</v>
      </c>
      <c r="F22" s="6">
        <v>59.5</v>
      </c>
      <c r="G22" s="6">
        <v>129.5</v>
      </c>
    </row>
    <row r="23" spans="1:7" x14ac:dyDescent="0.3">
      <c r="A23" s="5" t="s">
        <v>111</v>
      </c>
      <c r="B23" s="5">
        <v>-0.1</v>
      </c>
      <c r="C23" s="5">
        <v>22.5</v>
      </c>
      <c r="D23" s="5">
        <v>57.4</v>
      </c>
      <c r="E23" s="5">
        <v>117.7</v>
      </c>
      <c r="F23" s="5">
        <v>94.6</v>
      </c>
      <c r="G23" s="5">
        <v>184.1</v>
      </c>
    </row>
    <row r="24" spans="1:7" x14ac:dyDescent="0.3">
      <c r="A24" s="6" t="s">
        <v>127</v>
      </c>
      <c r="B24" s="6">
        <v>-13.2</v>
      </c>
      <c r="C24" s="6">
        <v>7.4</v>
      </c>
      <c r="D24" s="6">
        <v>39.799999999999997</v>
      </c>
      <c r="E24" s="6">
        <v>96</v>
      </c>
      <c r="F24" s="6">
        <v>74.3</v>
      </c>
      <c r="G24" s="6">
        <v>158.30000000000001</v>
      </c>
    </row>
    <row r="27" spans="1:7" x14ac:dyDescent="0.3">
      <c r="A27" s="1" t="s">
        <v>224</v>
      </c>
    </row>
    <row r="28" spans="1:7" x14ac:dyDescent="0.3">
      <c r="A28" s="4" t="s">
        <v>223</v>
      </c>
      <c r="B28" s="4" t="s">
        <v>216</v>
      </c>
      <c r="C28" s="4" t="s">
        <v>217</v>
      </c>
      <c r="D28" s="4" t="s">
        <v>218</v>
      </c>
      <c r="E28" s="4" t="s">
        <v>219</v>
      </c>
      <c r="F28" s="4" t="s">
        <v>220</v>
      </c>
      <c r="G28" s="4" t="s">
        <v>221</v>
      </c>
    </row>
    <row r="29" spans="1:7" x14ac:dyDescent="0.3">
      <c r="A29" s="5" t="s">
        <v>114</v>
      </c>
      <c r="B29" s="5">
        <v>59780824</v>
      </c>
      <c r="C29" s="5">
        <v>72072654</v>
      </c>
      <c r="D29" s="5">
        <v>90803905</v>
      </c>
      <c r="E29" s="5">
        <v>122880307</v>
      </c>
      <c r="F29" s="5">
        <v>110771777</v>
      </c>
      <c r="G29" s="5">
        <v>157938652</v>
      </c>
    </row>
    <row r="30" spans="1:7" x14ac:dyDescent="0.3">
      <c r="A30" s="6" t="s">
        <v>108</v>
      </c>
      <c r="B30" s="6">
        <v>218198053</v>
      </c>
      <c r="C30" s="6">
        <v>274228041</v>
      </c>
      <c r="D30" s="6">
        <v>362740139</v>
      </c>
      <c r="E30" s="6">
        <v>517207289</v>
      </c>
      <c r="F30" s="6">
        <v>457060892</v>
      </c>
      <c r="G30" s="6">
        <v>689341492</v>
      </c>
    </row>
    <row r="31" spans="1:7" x14ac:dyDescent="0.3">
      <c r="A31" s="5" t="s">
        <v>117</v>
      </c>
      <c r="B31" s="5">
        <v>302833442</v>
      </c>
      <c r="C31" s="5">
        <v>377436595</v>
      </c>
      <c r="D31" s="5">
        <v>494601312</v>
      </c>
      <c r="E31" s="5">
        <v>698480833</v>
      </c>
      <c r="F31" s="5">
        <v>619479684</v>
      </c>
      <c r="G31" s="5">
        <v>925010911</v>
      </c>
    </row>
    <row r="32" spans="1:7" x14ac:dyDescent="0.3">
      <c r="A32" s="6" t="s">
        <v>123</v>
      </c>
      <c r="B32" s="6">
        <v>110231437</v>
      </c>
      <c r="C32" s="6">
        <v>132179074</v>
      </c>
      <c r="D32" s="6">
        <v>165459976</v>
      </c>
      <c r="E32" s="6">
        <v>222339151</v>
      </c>
      <c r="F32" s="6">
        <v>200969574</v>
      </c>
      <c r="G32" s="6">
        <v>284367616</v>
      </c>
    </row>
    <row r="33" spans="1:7" x14ac:dyDescent="0.3">
      <c r="A33" s="5" t="s">
        <v>120</v>
      </c>
      <c r="B33" s="5">
        <v>172165646</v>
      </c>
      <c r="C33" s="5">
        <v>211012757</v>
      </c>
      <c r="D33" s="5">
        <v>271152305</v>
      </c>
      <c r="E33" s="5">
        <v>374982227</v>
      </c>
      <c r="F33" s="5">
        <v>335231499</v>
      </c>
      <c r="G33" s="5">
        <v>489435139</v>
      </c>
    </row>
    <row r="34" spans="1:7" x14ac:dyDescent="0.3">
      <c r="A34" s="6" t="s">
        <v>129</v>
      </c>
      <c r="B34" s="6">
        <v>229330856</v>
      </c>
      <c r="C34" s="6">
        <v>290793997</v>
      </c>
      <c r="D34" s="6">
        <v>388645223</v>
      </c>
      <c r="E34" s="6">
        <v>560278220</v>
      </c>
      <c r="F34" s="6">
        <v>493055091</v>
      </c>
      <c r="G34" s="6">
        <v>752468033</v>
      </c>
    </row>
    <row r="35" spans="1:7" x14ac:dyDescent="0.3">
      <c r="A35" s="5" t="s">
        <v>128</v>
      </c>
      <c r="B35" s="5">
        <v>52518256</v>
      </c>
      <c r="C35" s="5">
        <v>63425577</v>
      </c>
      <c r="D35" s="5">
        <v>80068686</v>
      </c>
      <c r="E35" s="5">
        <v>108579772</v>
      </c>
      <c r="F35" s="5">
        <v>97803150</v>
      </c>
      <c r="G35" s="5">
        <v>139755682</v>
      </c>
    </row>
    <row r="36" spans="1:7" x14ac:dyDescent="0.3">
      <c r="A36" s="6" t="s">
        <v>125</v>
      </c>
      <c r="B36" s="6">
        <v>180671942</v>
      </c>
      <c r="C36" s="6">
        <v>219289912</v>
      </c>
      <c r="D36" s="6">
        <v>278472965</v>
      </c>
      <c r="E36" s="6">
        <v>380046041</v>
      </c>
      <c r="F36" s="6">
        <v>341496236</v>
      </c>
      <c r="G36" s="6">
        <v>491338872</v>
      </c>
    </row>
    <row r="37" spans="1:7" x14ac:dyDescent="0.3">
      <c r="A37" s="5" t="s">
        <v>111</v>
      </c>
      <c r="B37" s="5">
        <v>205142661</v>
      </c>
      <c r="C37" s="5">
        <v>251430640</v>
      </c>
      <c r="D37" s="5">
        <v>323089460</v>
      </c>
      <c r="E37" s="5">
        <v>446807211</v>
      </c>
      <c r="F37" s="5">
        <v>399442534</v>
      </c>
      <c r="G37" s="5">
        <v>583182705</v>
      </c>
    </row>
    <row r="38" spans="1:7" x14ac:dyDescent="0.3">
      <c r="A38" s="6" t="s">
        <v>127</v>
      </c>
      <c r="B38" s="6">
        <v>204621099</v>
      </c>
      <c r="C38" s="6">
        <v>253382679</v>
      </c>
      <c r="D38" s="6">
        <v>329650644</v>
      </c>
      <c r="E38" s="6">
        <v>462163742</v>
      </c>
      <c r="F38" s="6">
        <v>411002479</v>
      </c>
      <c r="G38" s="6">
        <v>609153118</v>
      </c>
    </row>
  </sheetData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0"/>
  <sheetViews>
    <sheetView showGridLines="0" workbookViewId="0"/>
  </sheetViews>
  <sheetFormatPr defaultRowHeight="14.4" x14ac:dyDescent="0.3"/>
  <cols>
    <col min="1" max="1" width="12" customWidth="1"/>
    <col min="2" max="3" width="16" customWidth="1"/>
    <col min="4" max="7" width="12" customWidth="1"/>
    <col min="8" max="8" width="14" customWidth="1"/>
    <col min="9" max="9" width="12" customWidth="1"/>
    <col min="10" max="10" width="14" customWidth="1"/>
    <col min="11" max="11" width="13" customWidth="1"/>
    <col min="12" max="12" width="19" customWidth="1"/>
  </cols>
  <sheetData>
    <row r="1" spans="1:9" ht="28.05" customHeight="1" x14ac:dyDescent="0.3">
      <c r="A1" s="14" t="s">
        <v>225</v>
      </c>
      <c r="B1" s="13"/>
      <c r="C1" s="13"/>
      <c r="D1" s="13"/>
      <c r="E1" s="13"/>
      <c r="F1" s="13"/>
      <c r="G1" s="13"/>
      <c r="H1" s="13"/>
      <c r="I1" s="13"/>
    </row>
    <row r="3" spans="1:9" x14ac:dyDescent="0.3">
      <c r="A3" s="1" t="s">
        <v>226</v>
      </c>
    </row>
    <row r="4" spans="1:9" ht="26.4" x14ac:dyDescent="0.3">
      <c r="A4" s="4" t="s">
        <v>158</v>
      </c>
      <c r="B4" s="4" t="s">
        <v>227</v>
      </c>
      <c r="C4" s="4" t="s">
        <v>228</v>
      </c>
      <c r="D4" s="4" t="s">
        <v>229</v>
      </c>
      <c r="E4" s="4" t="s">
        <v>230</v>
      </c>
      <c r="F4" s="4" t="s">
        <v>231</v>
      </c>
      <c r="G4" s="4" t="s">
        <v>232</v>
      </c>
      <c r="H4" s="4" t="s">
        <v>233</v>
      </c>
      <c r="I4" s="4" t="s">
        <v>234</v>
      </c>
    </row>
    <row r="5" spans="1:9" x14ac:dyDescent="0.3">
      <c r="A5" s="5">
        <v>2015</v>
      </c>
      <c r="B5" s="5">
        <v>3048.25</v>
      </c>
      <c r="C5" s="5">
        <v>9854582704.2942009</v>
      </c>
      <c r="D5" s="7">
        <v>1.21E-2</v>
      </c>
      <c r="E5" s="7">
        <v>2.1999999999999999E-2</v>
      </c>
      <c r="F5" s="5">
        <v>56</v>
      </c>
      <c r="G5" s="5">
        <v>2.6059000000000001</v>
      </c>
      <c r="H5" s="5">
        <v>5.2682000000000002</v>
      </c>
      <c r="I5" s="5">
        <v>141.05000000000001</v>
      </c>
    </row>
    <row r="6" spans="1:9" x14ac:dyDescent="0.3">
      <c r="A6" s="6">
        <v>2016</v>
      </c>
      <c r="B6" s="6">
        <v>8480.75</v>
      </c>
      <c r="C6" s="6">
        <v>28167331062.833302</v>
      </c>
      <c r="D6" s="8">
        <v>1.14E-2</v>
      </c>
      <c r="E6" s="8">
        <v>2.1600000000000001E-2</v>
      </c>
      <c r="F6" s="6">
        <v>164</v>
      </c>
      <c r="G6" s="6">
        <v>2.8041</v>
      </c>
      <c r="H6" s="6">
        <v>5.1738999999999997</v>
      </c>
      <c r="I6" s="6">
        <v>141.29169999999999</v>
      </c>
    </row>
    <row r="7" spans="1:9" x14ac:dyDescent="0.3">
      <c r="A7" s="5">
        <v>2017</v>
      </c>
      <c r="B7" s="5">
        <v>13544.1667</v>
      </c>
      <c r="C7" s="5">
        <v>44853514598.974998</v>
      </c>
      <c r="D7" s="7">
        <v>1.15E-2</v>
      </c>
      <c r="E7" s="7">
        <v>2.1399999999999999E-2</v>
      </c>
      <c r="F7" s="5">
        <v>284</v>
      </c>
      <c r="G7" s="5">
        <v>2.2183000000000002</v>
      </c>
      <c r="H7" s="5">
        <v>4.7141999999999999</v>
      </c>
      <c r="I7" s="5">
        <v>134.20830000000001</v>
      </c>
    </row>
    <row r="8" spans="1:9" x14ac:dyDescent="0.3">
      <c r="A8" s="6">
        <v>2018</v>
      </c>
      <c r="B8" s="6">
        <v>17723.583299999998</v>
      </c>
      <c r="C8" s="6">
        <v>59040292081.120796</v>
      </c>
      <c r="D8" s="8">
        <v>1.12E-2</v>
      </c>
      <c r="E8" s="8">
        <v>2.1299999999999999E-2</v>
      </c>
      <c r="F8" s="6">
        <v>327</v>
      </c>
      <c r="G8" s="6">
        <v>2.4777999999999998</v>
      </c>
      <c r="H8" s="6">
        <v>4.4865000000000004</v>
      </c>
      <c r="I8" s="6">
        <v>118.45829999999999</v>
      </c>
    </row>
    <row r="9" spans="1:9" x14ac:dyDescent="0.3">
      <c r="A9" s="5">
        <v>2019</v>
      </c>
      <c r="B9" s="5">
        <v>20684.916700000002</v>
      </c>
      <c r="C9" s="5">
        <v>67983075802.839203</v>
      </c>
      <c r="D9" s="7">
        <v>1.12E-2</v>
      </c>
      <c r="E9" s="7">
        <v>2.1399999999999999E-2</v>
      </c>
      <c r="F9" s="5">
        <v>381</v>
      </c>
      <c r="G9" s="5">
        <v>2.3128000000000002</v>
      </c>
      <c r="H9" s="5">
        <v>4.7107999999999999</v>
      </c>
      <c r="I9" s="5">
        <v>120.0167</v>
      </c>
    </row>
    <row r="10" spans="1:9" x14ac:dyDescent="0.3">
      <c r="A10" s="6">
        <v>2020</v>
      </c>
      <c r="B10" s="6">
        <v>22451.083299999998</v>
      </c>
      <c r="C10" s="6">
        <v>73519611206.333298</v>
      </c>
      <c r="D10" s="8">
        <v>1.2E-2</v>
      </c>
      <c r="E10" s="8">
        <v>2.2700000000000001E-2</v>
      </c>
      <c r="F10" s="6">
        <v>3335</v>
      </c>
      <c r="G10" s="6">
        <v>-1.1247</v>
      </c>
      <c r="H10" s="6">
        <v>10.092499999999999</v>
      </c>
      <c r="I10" s="6">
        <v>221.4083</v>
      </c>
    </row>
    <row r="11" spans="1:9" x14ac:dyDescent="0.3">
      <c r="A11" s="5">
        <v>2021</v>
      </c>
      <c r="B11" s="5">
        <v>23649.5</v>
      </c>
      <c r="C11" s="5">
        <v>77629608799.109207</v>
      </c>
      <c r="D11" s="7">
        <v>1.24E-2</v>
      </c>
      <c r="E11" s="7">
        <v>2.3599999999999999E-2</v>
      </c>
      <c r="F11" s="5">
        <v>421</v>
      </c>
      <c r="G11" s="5">
        <v>3.0773000000000001</v>
      </c>
      <c r="H11" s="5">
        <v>6.4344000000000001</v>
      </c>
      <c r="I11" s="5">
        <v>163.2167</v>
      </c>
    </row>
    <row r="12" spans="1:9" x14ac:dyDescent="0.3">
      <c r="A12" s="6">
        <v>2022</v>
      </c>
      <c r="B12" s="6">
        <v>24482.166700000002</v>
      </c>
      <c r="C12" s="6">
        <v>80091815674.096695</v>
      </c>
      <c r="D12" s="8">
        <v>1.2200000000000001E-2</v>
      </c>
      <c r="E12" s="8">
        <v>2.3599999999999999E-2</v>
      </c>
      <c r="F12" s="6">
        <v>466</v>
      </c>
      <c r="G12" s="6">
        <v>2.5849000000000002</v>
      </c>
      <c r="H12" s="6">
        <v>6.0110999999999999</v>
      </c>
      <c r="I12" s="6">
        <v>133.02500000000001</v>
      </c>
    </row>
    <row r="13" spans="1:9" x14ac:dyDescent="0.3">
      <c r="A13" s="5">
        <v>2023</v>
      </c>
      <c r="B13" s="5">
        <v>24737.75</v>
      </c>
      <c r="C13" s="5">
        <v>80842328049.800797</v>
      </c>
      <c r="D13" s="7">
        <v>1.1900000000000001E-2</v>
      </c>
      <c r="E13" s="7">
        <v>2.3199999999999998E-2</v>
      </c>
      <c r="F13" s="5">
        <v>444</v>
      </c>
      <c r="G13" s="5">
        <v>3.0710000000000002</v>
      </c>
      <c r="H13" s="5">
        <v>5.7347999999999999</v>
      </c>
      <c r="I13" s="5">
        <v>119.5917</v>
      </c>
    </row>
    <row r="14" spans="1:9" x14ac:dyDescent="0.3">
      <c r="A14" s="6">
        <v>2024</v>
      </c>
      <c r="B14" s="6">
        <v>22179.583299999998</v>
      </c>
      <c r="C14" s="6">
        <v>72159427140.230804</v>
      </c>
      <c r="D14" s="8">
        <v>1.14E-2</v>
      </c>
      <c r="E14" s="8">
        <v>2.2599999999999999E-2</v>
      </c>
      <c r="F14" s="6">
        <v>410</v>
      </c>
      <c r="G14" s="6">
        <v>3.2058</v>
      </c>
      <c r="H14" s="6">
        <v>5.4165000000000001</v>
      </c>
      <c r="I14" s="6">
        <v>130.7833</v>
      </c>
    </row>
    <row r="17" spans="1:12" x14ac:dyDescent="0.3">
      <c r="A17" s="1" t="s">
        <v>235</v>
      </c>
    </row>
    <row r="18" spans="1:12" ht="26.4" x14ac:dyDescent="0.3">
      <c r="A18" s="4" t="s">
        <v>73</v>
      </c>
      <c r="B18" s="4" t="s">
        <v>236</v>
      </c>
      <c r="C18" s="4" t="s">
        <v>237</v>
      </c>
      <c r="D18" s="4" t="s">
        <v>238</v>
      </c>
      <c r="E18" s="4" t="s">
        <v>213</v>
      </c>
      <c r="F18" s="4" t="s">
        <v>239</v>
      </c>
      <c r="G18" s="4" t="s">
        <v>230</v>
      </c>
      <c r="H18" s="4" t="s">
        <v>240</v>
      </c>
      <c r="I18" s="4" t="s">
        <v>241</v>
      </c>
    </row>
    <row r="19" spans="1:12" x14ac:dyDescent="0.3">
      <c r="A19" s="5" t="s">
        <v>236</v>
      </c>
      <c r="B19" s="5">
        <v>1</v>
      </c>
      <c r="C19" s="5">
        <v>-0.80600000000000005</v>
      </c>
      <c r="D19" s="5">
        <v>0.48299999999999998</v>
      </c>
      <c r="E19" s="5">
        <v>-0.76300000000000001</v>
      </c>
      <c r="F19" s="5">
        <v>-0.09</v>
      </c>
      <c r="G19" s="5">
        <v>7.0000000000000001E-3</v>
      </c>
      <c r="H19" s="5">
        <v>-0.56699999999999995</v>
      </c>
      <c r="I19" s="5">
        <v>-9.9000000000000005E-2</v>
      </c>
    </row>
    <row r="20" spans="1:12" x14ac:dyDescent="0.3">
      <c r="A20" s="6" t="s">
        <v>237</v>
      </c>
      <c r="B20" s="6">
        <v>-0.80600000000000005</v>
      </c>
      <c r="C20" s="6">
        <v>1</v>
      </c>
      <c r="D20" s="6">
        <v>-0.48599999999999999</v>
      </c>
      <c r="E20" s="6">
        <v>0.89</v>
      </c>
      <c r="F20" s="6">
        <v>0.42</v>
      </c>
      <c r="G20" s="6">
        <v>0.45100000000000001</v>
      </c>
      <c r="H20" s="6">
        <v>0.57999999999999996</v>
      </c>
      <c r="I20" s="6">
        <v>0.35199999999999998</v>
      </c>
    </row>
    <row r="21" spans="1:12" x14ac:dyDescent="0.3">
      <c r="A21" s="5" t="s">
        <v>238</v>
      </c>
      <c r="B21" s="5">
        <v>0.48299999999999998</v>
      </c>
      <c r="C21" s="5">
        <v>-0.48599999999999999</v>
      </c>
      <c r="D21" s="5">
        <v>1</v>
      </c>
      <c r="E21" s="5">
        <v>-0.626</v>
      </c>
      <c r="F21" s="5">
        <v>-0.30499999999999999</v>
      </c>
      <c r="G21" s="5">
        <v>-9.1999999999999998E-2</v>
      </c>
      <c r="H21" s="5">
        <v>-0.24199999999999999</v>
      </c>
      <c r="I21" s="5">
        <v>-2.4E-2</v>
      </c>
    </row>
    <row r="22" spans="1:12" x14ac:dyDescent="0.3">
      <c r="A22" s="6" t="s">
        <v>213</v>
      </c>
      <c r="B22" s="6">
        <v>-0.76300000000000001</v>
      </c>
      <c r="C22" s="6">
        <v>0.89</v>
      </c>
      <c r="D22" s="6">
        <v>-0.626</v>
      </c>
      <c r="E22" s="6">
        <v>1</v>
      </c>
      <c r="F22" s="6">
        <v>0.33400000000000002</v>
      </c>
      <c r="G22" s="6">
        <v>0.22700000000000001</v>
      </c>
      <c r="H22" s="6">
        <v>0.56299999999999994</v>
      </c>
      <c r="I22" s="6">
        <v>0.113</v>
      </c>
    </row>
    <row r="23" spans="1:12" x14ac:dyDescent="0.3">
      <c r="A23" s="5" t="s">
        <v>239</v>
      </c>
      <c r="B23" s="5">
        <v>-0.09</v>
      </c>
      <c r="C23" s="5">
        <v>0.42</v>
      </c>
      <c r="D23" s="5">
        <v>-0.30499999999999999</v>
      </c>
      <c r="E23" s="5">
        <v>0.33400000000000002</v>
      </c>
      <c r="F23" s="5">
        <v>1</v>
      </c>
      <c r="G23" s="5">
        <v>0.75</v>
      </c>
      <c r="H23" s="5">
        <v>6.5000000000000002E-2</v>
      </c>
      <c r="I23" s="5">
        <v>0.223</v>
      </c>
    </row>
    <row r="24" spans="1:12" x14ac:dyDescent="0.3">
      <c r="A24" s="6" t="s">
        <v>230</v>
      </c>
      <c r="B24" s="6">
        <v>7.0000000000000001E-3</v>
      </c>
      <c r="C24" s="6">
        <v>0.45100000000000001</v>
      </c>
      <c r="D24" s="6">
        <v>-9.1999999999999998E-2</v>
      </c>
      <c r="E24" s="6">
        <v>0.22700000000000001</v>
      </c>
      <c r="F24" s="6">
        <v>0.75</v>
      </c>
      <c r="G24" s="6">
        <v>1</v>
      </c>
      <c r="H24" s="6">
        <v>5.3999999999999999E-2</v>
      </c>
      <c r="I24" s="6">
        <v>0.627</v>
      </c>
    </row>
    <row r="25" spans="1:12" x14ac:dyDescent="0.3">
      <c r="A25" s="5" t="s">
        <v>240</v>
      </c>
      <c r="B25" s="5">
        <v>-0.56699999999999995</v>
      </c>
      <c r="C25" s="5">
        <v>0.57999999999999996</v>
      </c>
      <c r="D25" s="5">
        <v>-0.24199999999999999</v>
      </c>
      <c r="E25" s="5">
        <v>0.56299999999999994</v>
      </c>
      <c r="F25" s="5">
        <v>6.5000000000000002E-2</v>
      </c>
      <c r="G25" s="5">
        <v>5.3999999999999999E-2</v>
      </c>
      <c r="H25" s="5">
        <v>1</v>
      </c>
      <c r="I25" s="5">
        <v>0.16300000000000001</v>
      </c>
    </row>
    <row r="26" spans="1:12" x14ac:dyDescent="0.3">
      <c r="A26" s="6" t="s">
        <v>241</v>
      </c>
      <c r="B26" s="6">
        <v>-9.9000000000000005E-2</v>
      </c>
      <c r="C26" s="6">
        <v>0.35199999999999998</v>
      </c>
      <c r="D26" s="6">
        <v>-2.4E-2</v>
      </c>
      <c r="E26" s="6">
        <v>0.113</v>
      </c>
      <c r="F26" s="6">
        <v>0.223</v>
      </c>
      <c r="G26" s="6">
        <v>0.627</v>
      </c>
      <c r="H26" s="6">
        <v>0.16300000000000001</v>
      </c>
      <c r="I26" s="6">
        <v>1</v>
      </c>
    </row>
    <row r="29" spans="1:12" x14ac:dyDescent="0.3">
      <c r="A29" s="1" t="s">
        <v>242</v>
      </c>
    </row>
    <row r="30" spans="1:12" x14ac:dyDescent="0.3">
      <c r="A30" s="4" t="s">
        <v>243</v>
      </c>
      <c r="B30" s="4" t="s">
        <v>244</v>
      </c>
      <c r="C30" s="4" t="s">
        <v>245</v>
      </c>
      <c r="D30" s="4" t="s">
        <v>239</v>
      </c>
      <c r="E30" s="4" t="s">
        <v>230</v>
      </c>
      <c r="F30" s="4" t="s">
        <v>246</v>
      </c>
      <c r="G30" s="4" t="s">
        <v>247</v>
      </c>
      <c r="H30" s="4" t="s">
        <v>240</v>
      </c>
      <c r="I30" s="4" t="s">
        <v>236</v>
      </c>
      <c r="J30" s="4" t="s">
        <v>237</v>
      </c>
      <c r="K30" s="4" t="s">
        <v>238</v>
      </c>
      <c r="L30" s="4" t="s">
        <v>213</v>
      </c>
    </row>
    <row r="31" spans="1:12" x14ac:dyDescent="0.3">
      <c r="A31" s="9">
        <v>42005</v>
      </c>
      <c r="B31" s="5">
        <v>482</v>
      </c>
      <c r="C31" s="5">
        <v>1697995933.8199999</v>
      </c>
      <c r="D31" s="7">
        <v>1.5164E-2</v>
      </c>
      <c r="E31" s="7">
        <v>2.3472E-2</v>
      </c>
      <c r="F31" s="7">
        <v>0.53779999999999994</v>
      </c>
      <c r="G31" s="5">
        <v>0.13120000000000001</v>
      </c>
      <c r="H31" s="5">
        <v>0</v>
      </c>
      <c r="I31" s="5">
        <v>2.5910000000000002</v>
      </c>
      <c r="J31" s="5">
        <v>5.319</v>
      </c>
      <c r="K31" s="5">
        <v>3</v>
      </c>
      <c r="L31" s="5">
        <v>154</v>
      </c>
    </row>
    <row r="32" spans="1:12" x14ac:dyDescent="0.3">
      <c r="A32" s="10">
        <v>42036</v>
      </c>
      <c r="B32" s="6">
        <v>956</v>
      </c>
      <c r="C32" s="6">
        <v>3132178636.3099999</v>
      </c>
      <c r="D32" s="8">
        <v>1.2839E-2</v>
      </c>
      <c r="E32" s="8">
        <v>2.1194000000000001E-2</v>
      </c>
      <c r="F32" s="8">
        <v>0.54069999999999996</v>
      </c>
      <c r="G32" s="6">
        <v>0.12820000000000001</v>
      </c>
      <c r="H32" s="6">
        <v>1</v>
      </c>
      <c r="I32" s="6">
        <v>2.8639999999999999</v>
      </c>
      <c r="J32" s="6">
        <v>5.01</v>
      </c>
      <c r="K32" s="6">
        <v>3</v>
      </c>
      <c r="L32" s="6">
        <v>141.19999999999999</v>
      </c>
    </row>
    <row r="33" spans="1:12" x14ac:dyDescent="0.3">
      <c r="A33" s="9">
        <v>42064</v>
      </c>
      <c r="B33" s="5">
        <v>1415</v>
      </c>
      <c r="C33" s="5">
        <v>4428744245.7299995</v>
      </c>
      <c r="D33" s="7">
        <v>1.1964000000000001E-2</v>
      </c>
      <c r="E33" s="7">
        <v>2.1225999999999998E-2</v>
      </c>
      <c r="F33" s="7">
        <v>0.54369999999999996</v>
      </c>
      <c r="G33" s="5">
        <v>0.1245</v>
      </c>
      <c r="H33" s="5">
        <v>1</v>
      </c>
      <c r="I33" s="5">
        <v>2.8660000000000001</v>
      </c>
      <c r="J33" s="5">
        <v>4.9619999999999997</v>
      </c>
      <c r="K33" s="5">
        <v>3</v>
      </c>
      <c r="L33" s="5">
        <v>139.9</v>
      </c>
    </row>
    <row r="34" spans="1:12" x14ac:dyDescent="0.3">
      <c r="A34" s="10">
        <v>42095</v>
      </c>
      <c r="B34" s="6">
        <v>1898</v>
      </c>
      <c r="C34" s="6">
        <v>6060836193.4300003</v>
      </c>
      <c r="D34" s="8">
        <v>1.1786E-2</v>
      </c>
      <c r="E34" s="8">
        <v>2.1117E-2</v>
      </c>
      <c r="F34" s="8">
        <v>0.54220000000000002</v>
      </c>
      <c r="G34" s="6">
        <v>0.12590000000000001</v>
      </c>
      <c r="H34" s="6">
        <v>2</v>
      </c>
      <c r="I34" s="6">
        <v>2.5739999999999998</v>
      </c>
      <c r="J34" s="6">
        <v>5.0960000000000001</v>
      </c>
      <c r="K34" s="6">
        <v>3</v>
      </c>
      <c r="L34" s="6">
        <v>145.19999999999999</v>
      </c>
    </row>
    <row r="35" spans="1:12" x14ac:dyDescent="0.3">
      <c r="A35" s="9">
        <v>42125</v>
      </c>
      <c r="B35" s="5">
        <v>2378</v>
      </c>
      <c r="C35" s="5">
        <v>7439622304.3400002</v>
      </c>
      <c r="D35" s="7">
        <v>1.1845E-2</v>
      </c>
      <c r="E35" s="7">
        <v>2.1780999999999998E-2</v>
      </c>
      <c r="F35" s="7">
        <v>0.54330000000000001</v>
      </c>
      <c r="G35" s="5">
        <v>0.125</v>
      </c>
      <c r="H35" s="5">
        <v>0</v>
      </c>
      <c r="I35" s="5">
        <v>2.5859999999999999</v>
      </c>
      <c r="J35" s="5">
        <v>5.2610000000000001</v>
      </c>
      <c r="K35" s="5">
        <v>3</v>
      </c>
      <c r="L35" s="5">
        <v>147.4</v>
      </c>
    </row>
    <row r="36" spans="1:12" x14ac:dyDescent="0.3">
      <c r="A36" s="10">
        <v>42156</v>
      </c>
      <c r="B36" s="6">
        <v>2840</v>
      </c>
      <c r="C36" s="6">
        <v>8882164243.2800007</v>
      </c>
      <c r="D36" s="8">
        <v>1.1506000000000001E-2</v>
      </c>
      <c r="E36" s="8">
        <v>2.1398E-2</v>
      </c>
      <c r="F36" s="8">
        <v>0.54490000000000005</v>
      </c>
      <c r="G36" s="6">
        <v>0.12429999999999999</v>
      </c>
      <c r="H36" s="6">
        <v>8</v>
      </c>
      <c r="I36" s="6">
        <v>2.3199999999999998</v>
      </c>
      <c r="J36" s="6">
        <v>5.3029999999999999</v>
      </c>
      <c r="K36" s="6">
        <v>3</v>
      </c>
      <c r="L36" s="6">
        <v>138</v>
      </c>
    </row>
    <row r="37" spans="1:12" x14ac:dyDescent="0.3">
      <c r="A37" s="9">
        <v>42186</v>
      </c>
      <c r="B37" s="5">
        <v>3312</v>
      </c>
      <c r="C37" s="5">
        <v>10537006285.5</v>
      </c>
      <c r="D37" s="7">
        <v>1.1391E-2</v>
      </c>
      <c r="E37" s="7">
        <v>2.1684999999999999E-2</v>
      </c>
      <c r="F37" s="7">
        <v>0.54500000000000004</v>
      </c>
      <c r="G37" s="5">
        <v>0.1242</v>
      </c>
      <c r="H37" s="5">
        <v>8</v>
      </c>
      <c r="I37" s="5">
        <v>2.601</v>
      </c>
      <c r="J37" s="5">
        <v>5.28</v>
      </c>
      <c r="K37" s="5">
        <v>3</v>
      </c>
      <c r="L37" s="5">
        <v>135.69999999999999</v>
      </c>
    </row>
    <row r="38" spans="1:12" x14ac:dyDescent="0.3">
      <c r="A38" s="10">
        <v>42217</v>
      </c>
      <c r="B38" s="6">
        <v>3764</v>
      </c>
      <c r="C38" s="6">
        <v>12018448728.65</v>
      </c>
      <c r="D38" s="8">
        <v>1.1882999999999999E-2</v>
      </c>
      <c r="E38" s="8">
        <v>2.2735999999999999E-2</v>
      </c>
      <c r="F38" s="8">
        <v>0.5454</v>
      </c>
      <c r="G38" s="6">
        <v>0.1249</v>
      </c>
      <c r="H38" s="6">
        <v>7</v>
      </c>
      <c r="I38" s="6">
        <v>2.387</v>
      </c>
      <c r="J38" s="6">
        <v>5.45</v>
      </c>
      <c r="K38" s="6">
        <v>3</v>
      </c>
      <c r="L38" s="6">
        <v>133.9</v>
      </c>
    </row>
    <row r="39" spans="1:12" x14ac:dyDescent="0.3">
      <c r="A39" s="9">
        <v>42248</v>
      </c>
      <c r="B39" s="5">
        <v>4217</v>
      </c>
      <c r="C39" s="5">
        <v>13749420547.360001</v>
      </c>
      <c r="D39" s="7">
        <v>1.1781E-2</v>
      </c>
      <c r="E39" s="7">
        <v>2.2574E-2</v>
      </c>
      <c r="F39" s="7">
        <v>0.5454</v>
      </c>
      <c r="G39" s="5">
        <v>0.1244</v>
      </c>
      <c r="H39" s="5">
        <v>11</v>
      </c>
      <c r="I39" s="5">
        <v>2.27</v>
      </c>
      <c r="J39" s="5">
        <v>5.3739999999999997</v>
      </c>
      <c r="K39" s="5">
        <v>3</v>
      </c>
      <c r="L39" s="5">
        <v>137.80000000000001</v>
      </c>
    </row>
    <row r="40" spans="1:12" x14ac:dyDescent="0.3">
      <c r="A40" s="10">
        <v>42278</v>
      </c>
      <c r="B40" s="6">
        <v>4649</v>
      </c>
      <c r="C40" s="6">
        <v>15196040347.98</v>
      </c>
      <c r="D40" s="8">
        <v>1.1520000000000001E-2</v>
      </c>
      <c r="E40" s="8">
        <v>2.2231000000000001E-2</v>
      </c>
      <c r="F40" s="8">
        <v>0.54559999999999997</v>
      </c>
      <c r="G40" s="6">
        <v>0.12559999999999999</v>
      </c>
      <c r="H40" s="6">
        <v>4</v>
      </c>
      <c r="I40" s="6">
        <v>2.4020000000000001</v>
      </c>
      <c r="J40" s="6">
        <v>5.4169999999999998</v>
      </c>
      <c r="K40" s="6">
        <v>3</v>
      </c>
      <c r="L40" s="6">
        <v>140.4</v>
      </c>
    </row>
    <row r="41" spans="1:12" x14ac:dyDescent="0.3">
      <c r="A41" s="9">
        <v>42309</v>
      </c>
      <c r="B41" s="5">
        <v>5083</v>
      </c>
      <c r="C41" s="5">
        <v>16678979039.76</v>
      </c>
      <c r="D41" s="7">
        <v>1.1797E-2</v>
      </c>
      <c r="E41" s="7">
        <v>2.2356000000000001E-2</v>
      </c>
      <c r="F41" s="7">
        <v>0.54669999999999996</v>
      </c>
      <c r="G41" s="5">
        <v>0.1246</v>
      </c>
      <c r="H41" s="5">
        <v>9</v>
      </c>
      <c r="I41" s="5">
        <v>3.0550000000000002</v>
      </c>
      <c r="J41" s="5">
        <v>5.3360000000000003</v>
      </c>
      <c r="K41" s="5">
        <v>3</v>
      </c>
      <c r="L41" s="5">
        <v>135.30000000000001</v>
      </c>
    </row>
    <row r="42" spans="1:12" x14ac:dyDescent="0.3">
      <c r="A42" s="10">
        <v>42339</v>
      </c>
      <c r="B42" s="6">
        <v>5585</v>
      </c>
      <c r="C42" s="6">
        <v>18433555945.369999</v>
      </c>
      <c r="D42" s="8">
        <v>1.1828999999999999E-2</v>
      </c>
      <c r="E42" s="8">
        <v>2.2287999999999999E-2</v>
      </c>
      <c r="F42" s="8">
        <v>0.54649999999999999</v>
      </c>
      <c r="G42" s="6">
        <v>0.1237</v>
      </c>
      <c r="H42" s="6">
        <v>5</v>
      </c>
      <c r="I42" s="6">
        <v>2.7549999999999999</v>
      </c>
      <c r="J42" s="6">
        <v>5.4109999999999996</v>
      </c>
      <c r="K42" s="6">
        <v>3</v>
      </c>
      <c r="L42" s="6">
        <v>143.80000000000001</v>
      </c>
    </row>
    <row r="43" spans="1:12" x14ac:dyDescent="0.3">
      <c r="A43" s="9">
        <v>42370</v>
      </c>
      <c r="B43" s="5">
        <v>6060</v>
      </c>
      <c r="C43" s="5">
        <v>20066099860.700001</v>
      </c>
      <c r="D43" s="7">
        <v>1.1572000000000001E-2</v>
      </c>
      <c r="E43" s="7">
        <v>2.1922000000000001E-2</v>
      </c>
      <c r="F43" s="7">
        <v>0.54690000000000005</v>
      </c>
      <c r="G43" s="5">
        <v>0.1241</v>
      </c>
      <c r="H43" s="5">
        <v>11</v>
      </c>
      <c r="I43" s="5">
        <v>2.6949999999999998</v>
      </c>
      <c r="J43" s="5">
        <v>5.2649999999999997</v>
      </c>
      <c r="K43" s="5">
        <v>3</v>
      </c>
      <c r="L43" s="5">
        <v>135.80000000000001</v>
      </c>
    </row>
    <row r="44" spans="1:12" x14ac:dyDescent="0.3">
      <c r="A44" s="10">
        <v>42401</v>
      </c>
      <c r="B44" s="6">
        <v>6497</v>
      </c>
      <c r="C44" s="6">
        <v>21641895246.959999</v>
      </c>
      <c r="D44" s="8">
        <v>1.1403999999999999E-2</v>
      </c>
      <c r="E44" s="8">
        <v>2.1939E-2</v>
      </c>
      <c r="F44" s="8">
        <v>0.54649999999999999</v>
      </c>
      <c r="G44" s="6">
        <v>0.1234</v>
      </c>
      <c r="H44" s="6">
        <v>10</v>
      </c>
      <c r="I44" s="6">
        <v>2.871</v>
      </c>
      <c r="J44" s="6">
        <v>5.3630000000000004</v>
      </c>
      <c r="K44" s="6">
        <v>3</v>
      </c>
      <c r="L44" s="6">
        <v>139.6</v>
      </c>
    </row>
    <row r="45" spans="1:12" x14ac:dyDescent="0.3">
      <c r="A45" s="9">
        <v>42430</v>
      </c>
      <c r="B45" s="5">
        <v>6918</v>
      </c>
      <c r="C45" s="5">
        <v>22904226421.02</v>
      </c>
      <c r="D45" s="7">
        <v>1.1495E-2</v>
      </c>
      <c r="E45" s="7">
        <v>2.2036E-2</v>
      </c>
      <c r="F45" s="7">
        <v>0.54620000000000002</v>
      </c>
      <c r="G45" s="5">
        <v>0.1229</v>
      </c>
      <c r="H45" s="5">
        <v>11</v>
      </c>
      <c r="I45" s="5">
        <v>2.6339999999999999</v>
      </c>
      <c r="J45" s="5">
        <v>5.38</v>
      </c>
      <c r="K45" s="5">
        <v>3</v>
      </c>
      <c r="L45" s="5">
        <v>139.6</v>
      </c>
    </row>
    <row r="46" spans="1:12" x14ac:dyDescent="0.3">
      <c r="A46" s="10">
        <v>42461</v>
      </c>
      <c r="B46" s="6">
        <v>7387</v>
      </c>
      <c r="C46" s="6">
        <v>24399106414.619999</v>
      </c>
      <c r="D46" s="8">
        <v>1.1265000000000001E-2</v>
      </c>
      <c r="E46" s="8">
        <v>2.1811000000000001E-2</v>
      </c>
      <c r="F46" s="8">
        <v>0.54559999999999997</v>
      </c>
      <c r="G46" s="6">
        <v>0.1234</v>
      </c>
      <c r="H46" s="6">
        <v>12</v>
      </c>
      <c r="I46" s="6">
        <v>2.6859999999999999</v>
      </c>
      <c r="J46" s="6">
        <v>5.4909999999999997</v>
      </c>
      <c r="K46" s="6">
        <v>3</v>
      </c>
      <c r="L46" s="6">
        <v>140.4</v>
      </c>
    </row>
    <row r="47" spans="1:12" x14ac:dyDescent="0.3">
      <c r="A47" s="9">
        <v>42491</v>
      </c>
      <c r="B47" s="5">
        <v>7837</v>
      </c>
      <c r="C47" s="5">
        <v>26170278918.419998</v>
      </c>
      <c r="D47" s="7">
        <v>1.1375E-2</v>
      </c>
      <c r="E47" s="7">
        <v>2.1736999999999999E-2</v>
      </c>
      <c r="F47" s="7">
        <v>0.54620000000000002</v>
      </c>
      <c r="G47" s="5">
        <v>0.12429999999999999</v>
      </c>
      <c r="H47" s="5">
        <v>10</v>
      </c>
      <c r="I47" s="5">
        <v>2.871</v>
      </c>
      <c r="J47" s="5">
        <v>5.4770000000000003</v>
      </c>
      <c r="K47" s="5">
        <v>3</v>
      </c>
      <c r="L47" s="5">
        <v>141.69999999999999</v>
      </c>
    </row>
    <row r="48" spans="1:12" x14ac:dyDescent="0.3">
      <c r="A48" s="10">
        <v>42522</v>
      </c>
      <c r="B48" s="6">
        <v>8298</v>
      </c>
      <c r="C48" s="6">
        <v>27864130704.419998</v>
      </c>
      <c r="D48" s="8">
        <v>1.137E-2</v>
      </c>
      <c r="E48" s="8">
        <v>2.1566999999999999E-2</v>
      </c>
      <c r="F48" s="8">
        <v>0.54659999999999997</v>
      </c>
      <c r="G48" s="6">
        <v>0.1242</v>
      </c>
      <c r="H48" s="6">
        <v>21</v>
      </c>
      <c r="I48" s="6">
        <v>3.024</v>
      </c>
      <c r="J48" s="6">
        <v>5.234</v>
      </c>
      <c r="K48" s="6">
        <v>3</v>
      </c>
      <c r="L48" s="6">
        <v>137.9</v>
      </c>
    </row>
    <row r="49" spans="1:12" x14ac:dyDescent="0.3">
      <c r="A49" s="9">
        <v>42552</v>
      </c>
      <c r="B49" s="5">
        <v>8720</v>
      </c>
      <c r="C49" s="5">
        <v>29202238135.349998</v>
      </c>
      <c r="D49" s="7">
        <v>1.1329000000000001E-2</v>
      </c>
      <c r="E49" s="7">
        <v>2.1562999999999999E-2</v>
      </c>
      <c r="F49" s="7">
        <v>0.54690000000000005</v>
      </c>
      <c r="G49" s="5">
        <v>0.12379999999999999</v>
      </c>
      <c r="H49" s="5">
        <v>10</v>
      </c>
      <c r="I49" s="5">
        <v>2.83</v>
      </c>
      <c r="J49" s="5">
        <v>5.1269999999999998</v>
      </c>
      <c r="K49" s="5">
        <v>3</v>
      </c>
      <c r="L49" s="5">
        <v>134.9</v>
      </c>
    </row>
    <row r="50" spans="1:12" x14ac:dyDescent="0.3">
      <c r="A50" s="10">
        <v>42583</v>
      </c>
      <c r="B50" s="6">
        <v>9146</v>
      </c>
      <c r="C50" s="6">
        <v>30430670654.290001</v>
      </c>
      <c r="D50" s="8">
        <v>1.1361E-2</v>
      </c>
      <c r="E50" s="8">
        <v>2.1458000000000001E-2</v>
      </c>
      <c r="F50" s="8">
        <v>0.54659999999999997</v>
      </c>
      <c r="G50" s="6">
        <v>0.12330000000000001</v>
      </c>
      <c r="H50" s="6">
        <v>13</v>
      </c>
      <c r="I50" s="6">
        <v>3.246</v>
      </c>
      <c r="J50" s="6">
        <v>4.9909999999999997</v>
      </c>
      <c r="K50" s="6">
        <v>3</v>
      </c>
      <c r="L50" s="6">
        <v>142.19999999999999</v>
      </c>
    </row>
    <row r="51" spans="1:12" x14ac:dyDescent="0.3">
      <c r="A51" s="9">
        <v>42614</v>
      </c>
      <c r="B51" s="5">
        <v>9547</v>
      </c>
      <c r="C51" s="5">
        <v>31737707263.380001</v>
      </c>
      <c r="D51" s="7">
        <v>1.1328E-2</v>
      </c>
      <c r="E51" s="7">
        <v>2.1410999999999999E-2</v>
      </c>
      <c r="F51" s="7">
        <v>0.54620000000000002</v>
      </c>
      <c r="G51" s="5">
        <v>0.1235</v>
      </c>
      <c r="H51" s="5">
        <v>16</v>
      </c>
      <c r="I51" s="5">
        <v>2.6659999999999999</v>
      </c>
      <c r="J51" s="5">
        <v>4.9409999999999998</v>
      </c>
      <c r="K51" s="5">
        <v>3</v>
      </c>
      <c r="L51" s="5">
        <v>142.30000000000001</v>
      </c>
    </row>
    <row r="52" spans="1:12" x14ac:dyDescent="0.3">
      <c r="A52" s="10">
        <v>42644</v>
      </c>
      <c r="B52" s="6">
        <v>10009</v>
      </c>
      <c r="C52" s="6">
        <v>33050915728.700001</v>
      </c>
      <c r="D52" s="8">
        <v>1.1278E-2</v>
      </c>
      <c r="E52" s="8">
        <v>2.1314E-2</v>
      </c>
      <c r="F52" s="8">
        <v>0.54669999999999996</v>
      </c>
      <c r="G52" s="6">
        <v>0.1234</v>
      </c>
      <c r="H52" s="6">
        <v>17</v>
      </c>
      <c r="I52" s="6">
        <v>2.8260000000000001</v>
      </c>
      <c r="J52" s="6">
        <v>5.0510000000000002</v>
      </c>
      <c r="K52" s="6">
        <v>3</v>
      </c>
      <c r="L52" s="6">
        <v>147.4</v>
      </c>
    </row>
    <row r="53" spans="1:12" x14ac:dyDescent="0.3">
      <c r="A53" s="9">
        <v>42675</v>
      </c>
      <c r="B53" s="5">
        <v>10453</v>
      </c>
      <c r="C53" s="5">
        <v>34642046367</v>
      </c>
      <c r="D53" s="7">
        <v>1.1214999999999999E-2</v>
      </c>
      <c r="E53" s="7">
        <v>2.1228E-2</v>
      </c>
      <c r="F53" s="7">
        <v>0.54669999999999996</v>
      </c>
      <c r="G53" s="5">
        <v>0.12330000000000001</v>
      </c>
      <c r="H53" s="5">
        <v>14</v>
      </c>
      <c r="I53" s="5">
        <v>2.6880000000000002</v>
      </c>
      <c r="J53" s="5">
        <v>4.9790000000000001</v>
      </c>
      <c r="K53" s="5">
        <v>3</v>
      </c>
      <c r="L53" s="5">
        <v>152.5</v>
      </c>
    </row>
    <row r="54" spans="1:12" x14ac:dyDescent="0.3">
      <c r="A54" s="10">
        <v>42705</v>
      </c>
      <c r="B54" s="6">
        <v>10897</v>
      </c>
      <c r="C54" s="6">
        <v>35898657039.139999</v>
      </c>
      <c r="D54" s="8">
        <v>1.1289E-2</v>
      </c>
      <c r="E54" s="8">
        <v>2.1248E-2</v>
      </c>
      <c r="F54" s="8">
        <v>0.54720000000000002</v>
      </c>
      <c r="G54" s="6">
        <v>0.12330000000000001</v>
      </c>
      <c r="H54" s="6">
        <v>19</v>
      </c>
      <c r="I54" s="6">
        <v>2.6120000000000001</v>
      </c>
      <c r="J54" s="6">
        <v>4.7880000000000003</v>
      </c>
      <c r="K54" s="6">
        <v>3</v>
      </c>
      <c r="L54" s="6">
        <v>141.19999999999999</v>
      </c>
    </row>
    <row r="55" spans="1:12" x14ac:dyDescent="0.3">
      <c r="A55" s="9">
        <v>42736</v>
      </c>
      <c r="B55" s="5">
        <v>11349</v>
      </c>
      <c r="C55" s="5">
        <v>37422327451.730003</v>
      </c>
      <c r="D55" s="7">
        <v>1.1441E-2</v>
      </c>
      <c r="E55" s="7">
        <v>2.1395000000000001E-2</v>
      </c>
      <c r="F55" s="7">
        <v>0.54679999999999995</v>
      </c>
      <c r="G55" s="5">
        <v>0.1239</v>
      </c>
      <c r="H55" s="5">
        <v>17</v>
      </c>
      <c r="I55" s="5">
        <v>2.3250000000000002</v>
      </c>
      <c r="J55" s="5">
        <v>4.8739999999999997</v>
      </c>
      <c r="K55" s="5">
        <v>3</v>
      </c>
      <c r="L55" s="5">
        <v>141.19999999999999</v>
      </c>
    </row>
    <row r="56" spans="1:12" x14ac:dyDescent="0.3">
      <c r="A56" s="10">
        <v>42767</v>
      </c>
      <c r="B56" s="6">
        <v>11738</v>
      </c>
      <c r="C56" s="6">
        <v>38561488534.800003</v>
      </c>
      <c r="D56" s="8">
        <v>1.1464E-2</v>
      </c>
      <c r="E56" s="8">
        <v>2.1444000000000001E-2</v>
      </c>
      <c r="F56" s="8">
        <v>0.54659999999999997</v>
      </c>
      <c r="G56" s="6">
        <v>0.12379999999999999</v>
      </c>
      <c r="H56" s="6">
        <v>25</v>
      </c>
      <c r="I56" s="6">
        <v>2.5499999999999998</v>
      </c>
      <c r="J56" s="6">
        <v>4.8159999999999998</v>
      </c>
      <c r="K56" s="6">
        <v>3</v>
      </c>
      <c r="L56" s="6">
        <v>141.4</v>
      </c>
    </row>
    <row r="57" spans="1:12" x14ac:dyDescent="0.3">
      <c r="A57" s="9">
        <v>42795</v>
      </c>
      <c r="B57" s="5">
        <v>12173</v>
      </c>
      <c r="C57" s="5">
        <v>39991765998.150002</v>
      </c>
      <c r="D57" s="7">
        <v>1.158E-2</v>
      </c>
      <c r="E57" s="7">
        <v>2.1477E-2</v>
      </c>
      <c r="F57" s="7">
        <v>0.54679999999999995</v>
      </c>
      <c r="G57" s="5">
        <v>0.1245</v>
      </c>
      <c r="H57" s="5">
        <v>20</v>
      </c>
      <c r="I57" s="5">
        <v>2.7320000000000002</v>
      </c>
      <c r="J57" s="5">
        <v>4.7789999999999999</v>
      </c>
      <c r="K57" s="5">
        <v>3</v>
      </c>
      <c r="L57" s="5">
        <v>143.9</v>
      </c>
    </row>
    <row r="58" spans="1:12" x14ac:dyDescent="0.3">
      <c r="A58" s="10">
        <v>42826</v>
      </c>
      <c r="B58" s="6">
        <v>12530</v>
      </c>
      <c r="C58" s="6">
        <v>41236843727.800003</v>
      </c>
      <c r="D58" s="8">
        <v>1.1634E-2</v>
      </c>
      <c r="E58" s="8">
        <v>2.1437999999999999E-2</v>
      </c>
      <c r="F58" s="8">
        <v>0.54669999999999996</v>
      </c>
      <c r="G58" s="6">
        <v>0.1249</v>
      </c>
      <c r="H58" s="6">
        <v>26</v>
      </c>
      <c r="I58" s="6">
        <v>2.5110000000000001</v>
      </c>
      <c r="J58" s="6">
        <v>4.7350000000000003</v>
      </c>
      <c r="K58" s="6">
        <v>3</v>
      </c>
      <c r="L58" s="6">
        <v>139.4</v>
      </c>
    </row>
    <row r="59" spans="1:12" x14ac:dyDescent="0.3">
      <c r="A59" s="9">
        <v>42856</v>
      </c>
      <c r="B59" s="5">
        <v>12956</v>
      </c>
      <c r="C59" s="5">
        <v>42567584272.489998</v>
      </c>
      <c r="D59" s="7">
        <v>1.167E-2</v>
      </c>
      <c r="E59" s="7">
        <v>2.1475999999999999E-2</v>
      </c>
      <c r="F59" s="7">
        <v>0.54700000000000004</v>
      </c>
      <c r="G59" s="5">
        <v>0.12429999999999999</v>
      </c>
      <c r="H59" s="5">
        <v>20</v>
      </c>
      <c r="I59" s="5">
        <v>2.1509999999999998</v>
      </c>
      <c r="J59" s="5">
        <v>4.8209999999999997</v>
      </c>
      <c r="K59" s="5">
        <v>3</v>
      </c>
      <c r="L59" s="5">
        <v>134.69999999999999</v>
      </c>
    </row>
    <row r="60" spans="1:12" x14ac:dyDescent="0.3">
      <c r="A60" s="10">
        <v>42887</v>
      </c>
      <c r="B60" s="6">
        <v>13362</v>
      </c>
      <c r="C60" s="6">
        <v>44119566193.5</v>
      </c>
      <c r="D60" s="8">
        <v>1.1627999999999999E-2</v>
      </c>
      <c r="E60" s="8">
        <v>2.1519E-2</v>
      </c>
      <c r="F60" s="8">
        <v>0.54720000000000002</v>
      </c>
      <c r="G60" s="6">
        <v>0.12429999999999999</v>
      </c>
      <c r="H60" s="6">
        <v>19</v>
      </c>
      <c r="I60" s="6">
        <v>2.1890000000000001</v>
      </c>
      <c r="J60" s="6">
        <v>4.9029999999999996</v>
      </c>
      <c r="K60" s="6">
        <v>3</v>
      </c>
      <c r="L60" s="6">
        <v>137.80000000000001</v>
      </c>
    </row>
    <row r="61" spans="1:12" x14ac:dyDescent="0.3">
      <c r="A61" s="9">
        <v>42917</v>
      </c>
      <c r="B61" s="5">
        <v>13742</v>
      </c>
      <c r="C61" s="5">
        <v>45296764477.370003</v>
      </c>
      <c r="D61" s="7">
        <v>1.1627999999999999E-2</v>
      </c>
      <c r="E61" s="7">
        <v>2.1489999999999999E-2</v>
      </c>
      <c r="F61" s="7">
        <v>0.54730000000000001</v>
      </c>
      <c r="G61" s="5">
        <v>0.1241</v>
      </c>
      <c r="H61" s="5">
        <v>18</v>
      </c>
      <c r="I61" s="5">
        <v>2.42</v>
      </c>
      <c r="J61" s="5">
        <v>4.8929999999999998</v>
      </c>
      <c r="K61" s="5">
        <v>3</v>
      </c>
      <c r="L61" s="5">
        <v>133.69999999999999</v>
      </c>
    </row>
    <row r="62" spans="1:12" x14ac:dyDescent="0.3">
      <c r="A62" s="10">
        <v>42948</v>
      </c>
      <c r="B62" s="6">
        <v>14132</v>
      </c>
      <c r="C62" s="6">
        <v>47032911786.269997</v>
      </c>
      <c r="D62" s="8">
        <v>1.141E-2</v>
      </c>
      <c r="E62" s="8">
        <v>2.1337999999999999E-2</v>
      </c>
      <c r="F62" s="8">
        <v>0.54710000000000003</v>
      </c>
      <c r="G62" s="6">
        <v>0.125</v>
      </c>
      <c r="H62" s="6">
        <v>26</v>
      </c>
      <c r="I62" s="6">
        <v>2.4039999999999999</v>
      </c>
      <c r="J62" s="6">
        <v>4.6449999999999996</v>
      </c>
      <c r="K62" s="6">
        <v>3</v>
      </c>
      <c r="L62" s="6">
        <v>121.7</v>
      </c>
    </row>
    <row r="63" spans="1:12" x14ac:dyDescent="0.3">
      <c r="A63" s="9">
        <v>42979</v>
      </c>
      <c r="B63" s="5">
        <v>14542</v>
      </c>
      <c r="C63" s="5">
        <v>48500191498.32</v>
      </c>
      <c r="D63" s="7">
        <v>1.1346E-2</v>
      </c>
      <c r="E63" s="7">
        <v>2.1312999999999999E-2</v>
      </c>
      <c r="F63" s="7">
        <v>0.54710000000000003</v>
      </c>
      <c r="G63" s="5">
        <v>0.12479999999999999</v>
      </c>
      <c r="H63" s="5">
        <v>27</v>
      </c>
      <c r="I63" s="5">
        <v>2.0169999999999999</v>
      </c>
      <c r="J63" s="5">
        <v>4.5129999999999999</v>
      </c>
      <c r="K63" s="5">
        <v>3</v>
      </c>
      <c r="L63" s="5">
        <v>125.8</v>
      </c>
    </row>
    <row r="64" spans="1:12" x14ac:dyDescent="0.3">
      <c r="A64" s="10">
        <v>43009</v>
      </c>
      <c r="B64" s="6">
        <v>14934</v>
      </c>
      <c r="C64" s="6">
        <v>49886546713.919998</v>
      </c>
      <c r="D64" s="8">
        <v>1.1268E-2</v>
      </c>
      <c r="E64" s="8">
        <v>2.1284000000000001E-2</v>
      </c>
      <c r="F64" s="8">
        <v>0.54710000000000003</v>
      </c>
      <c r="G64" s="6">
        <v>0.1249</v>
      </c>
      <c r="H64" s="6">
        <v>25</v>
      </c>
      <c r="I64" s="6">
        <v>1.794</v>
      </c>
      <c r="J64" s="6">
        <v>4.4809999999999999</v>
      </c>
      <c r="K64" s="6">
        <v>3</v>
      </c>
      <c r="L64" s="6">
        <v>136.6</v>
      </c>
    </row>
    <row r="65" spans="1:12" x14ac:dyDescent="0.3">
      <c r="A65" s="9">
        <v>43040</v>
      </c>
      <c r="B65" s="5">
        <v>15342</v>
      </c>
      <c r="C65" s="5">
        <v>51239542856.440002</v>
      </c>
      <c r="D65" s="7">
        <v>1.1216E-2</v>
      </c>
      <c r="E65" s="7">
        <v>2.1309000000000002E-2</v>
      </c>
      <c r="F65" s="7">
        <v>0.54700000000000004</v>
      </c>
      <c r="G65" s="5">
        <v>0.1249</v>
      </c>
      <c r="H65" s="5">
        <v>32</v>
      </c>
      <c r="I65" s="5">
        <v>1.7569999999999999</v>
      </c>
      <c r="J65" s="5">
        <v>4.617</v>
      </c>
      <c r="K65" s="5">
        <v>3</v>
      </c>
      <c r="L65" s="5">
        <v>128.4</v>
      </c>
    </row>
    <row r="66" spans="1:12" x14ac:dyDescent="0.3">
      <c r="A66" s="10">
        <v>43070</v>
      </c>
      <c r="B66" s="6">
        <v>15730</v>
      </c>
      <c r="C66" s="6">
        <v>52386641676.910004</v>
      </c>
      <c r="D66" s="8">
        <v>1.1247E-2</v>
      </c>
      <c r="E66" s="8">
        <v>2.1326999999999999E-2</v>
      </c>
      <c r="F66" s="8">
        <v>0.54669999999999996</v>
      </c>
      <c r="G66" s="6">
        <v>0.12479999999999999</v>
      </c>
      <c r="H66" s="6">
        <v>29</v>
      </c>
      <c r="I66" s="6">
        <v>1.77</v>
      </c>
      <c r="J66" s="6">
        <v>4.4939999999999998</v>
      </c>
      <c r="K66" s="6">
        <v>3</v>
      </c>
      <c r="L66" s="6">
        <v>125.9</v>
      </c>
    </row>
    <row r="67" spans="1:12" x14ac:dyDescent="0.3">
      <c r="A67" s="9">
        <v>43101</v>
      </c>
      <c r="B67" s="5">
        <v>16131</v>
      </c>
      <c r="C67" s="5">
        <v>53530518604.190002</v>
      </c>
      <c r="D67" s="7">
        <v>1.1135000000000001E-2</v>
      </c>
      <c r="E67" s="7">
        <v>2.1305000000000001E-2</v>
      </c>
      <c r="F67" s="7">
        <v>0.54679999999999995</v>
      </c>
      <c r="G67" s="5">
        <v>0.12479999999999999</v>
      </c>
      <c r="H67" s="5">
        <v>20</v>
      </c>
      <c r="I67" s="5">
        <v>2.0950000000000002</v>
      </c>
      <c r="J67" s="5">
        <v>4.26</v>
      </c>
      <c r="K67" s="5">
        <v>3</v>
      </c>
      <c r="L67" s="5">
        <v>129.80000000000001</v>
      </c>
    </row>
    <row r="68" spans="1:12" x14ac:dyDescent="0.3">
      <c r="A68" s="10">
        <v>43132</v>
      </c>
      <c r="B68" s="6">
        <v>16444</v>
      </c>
      <c r="C68" s="6">
        <v>54576373236.389999</v>
      </c>
      <c r="D68" s="8">
        <v>1.1103E-2</v>
      </c>
      <c r="E68" s="8">
        <v>2.1329000000000001E-2</v>
      </c>
      <c r="F68" s="8">
        <v>0.54659999999999997</v>
      </c>
      <c r="G68" s="6">
        <v>0.12470000000000001</v>
      </c>
      <c r="H68" s="6">
        <v>31</v>
      </c>
      <c r="I68" s="6">
        <v>2.2069999999999999</v>
      </c>
      <c r="J68" s="6">
        <v>4.2080000000000002</v>
      </c>
      <c r="K68" s="6">
        <v>3</v>
      </c>
      <c r="L68" s="6">
        <v>118.2</v>
      </c>
    </row>
    <row r="69" spans="1:12" x14ac:dyDescent="0.3">
      <c r="A69" s="9">
        <v>43160</v>
      </c>
      <c r="B69" s="5">
        <v>16720</v>
      </c>
      <c r="C69" s="5">
        <v>55521059353.330002</v>
      </c>
      <c r="D69" s="7">
        <v>1.1027E-2</v>
      </c>
      <c r="E69" s="7">
        <v>2.1301E-2</v>
      </c>
      <c r="F69" s="7">
        <v>0.54649999999999999</v>
      </c>
      <c r="G69" s="5">
        <v>0.12470000000000001</v>
      </c>
      <c r="H69" s="5">
        <v>26</v>
      </c>
      <c r="I69" s="5">
        <v>2.258</v>
      </c>
      <c r="J69" s="5">
        <v>4.1680000000000001</v>
      </c>
      <c r="K69" s="5">
        <v>3</v>
      </c>
      <c r="L69" s="5">
        <v>121.3</v>
      </c>
    </row>
    <row r="70" spans="1:12" x14ac:dyDescent="0.3">
      <c r="A70" s="10">
        <v>43191</v>
      </c>
      <c r="B70" s="6">
        <v>16994</v>
      </c>
      <c r="C70" s="6">
        <v>56659519031.07</v>
      </c>
      <c r="D70" s="8">
        <v>1.1119E-2</v>
      </c>
      <c r="E70" s="8">
        <v>2.1264000000000002E-2</v>
      </c>
      <c r="F70" s="8">
        <v>0.54669999999999996</v>
      </c>
      <c r="G70" s="6">
        <v>0.1249</v>
      </c>
      <c r="H70" s="6">
        <v>21</v>
      </c>
      <c r="I70" s="6">
        <v>2.2890000000000001</v>
      </c>
      <c r="J70" s="6">
        <v>4.45</v>
      </c>
      <c r="K70" s="6">
        <v>3</v>
      </c>
      <c r="L70" s="6">
        <v>120.2</v>
      </c>
    </row>
    <row r="71" spans="1:12" x14ac:dyDescent="0.3">
      <c r="A71" s="9">
        <v>43221</v>
      </c>
      <c r="B71" s="5">
        <v>17258</v>
      </c>
      <c r="C71" s="5">
        <v>57562341694.410004</v>
      </c>
      <c r="D71" s="7">
        <v>1.1102000000000001E-2</v>
      </c>
      <c r="E71" s="7">
        <v>2.1292999999999999E-2</v>
      </c>
      <c r="F71" s="7">
        <v>0.54679999999999995</v>
      </c>
      <c r="G71" s="5">
        <v>0.12520000000000001</v>
      </c>
      <c r="H71" s="5">
        <v>30</v>
      </c>
      <c r="I71" s="5">
        <v>2.0030000000000001</v>
      </c>
      <c r="J71" s="5">
        <v>4.5039999999999996</v>
      </c>
      <c r="K71" s="5">
        <v>3</v>
      </c>
      <c r="L71" s="5">
        <v>123</v>
      </c>
    </row>
    <row r="72" spans="1:12" x14ac:dyDescent="0.3">
      <c r="A72" s="10">
        <v>43252</v>
      </c>
      <c r="B72" s="6">
        <v>17519</v>
      </c>
      <c r="C72" s="6">
        <v>58500866796.559998</v>
      </c>
      <c r="D72" s="8">
        <v>1.115E-2</v>
      </c>
      <c r="E72" s="8">
        <v>2.1307E-2</v>
      </c>
      <c r="F72" s="8">
        <v>0.54720000000000002</v>
      </c>
      <c r="G72" s="6">
        <v>0.12529999999999999</v>
      </c>
      <c r="H72" s="6">
        <v>29</v>
      </c>
      <c r="I72" s="6">
        <v>2.46</v>
      </c>
      <c r="J72" s="6">
        <v>4.6539999999999999</v>
      </c>
      <c r="K72" s="6">
        <v>3</v>
      </c>
      <c r="L72" s="6">
        <v>126.5</v>
      </c>
    </row>
    <row r="73" spans="1:12" x14ac:dyDescent="0.3">
      <c r="A73" s="9">
        <v>43282</v>
      </c>
      <c r="B73" s="5">
        <v>17809</v>
      </c>
      <c r="C73" s="5">
        <v>59534117085.029999</v>
      </c>
      <c r="D73" s="7">
        <v>1.1243E-2</v>
      </c>
      <c r="E73" s="7">
        <v>2.1346E-2</v>
      </c>
      <c r="F73" s="7">
        <v>0.54679999999999995</v>
      </c>
      <c r="G73" s="5">
        <v>0.12520000000000001</v>
      </c>
      <c r="H73" s="5">
        <v>29</v>
      </c>
      <c r="I73" s="5">
        <v>2.903</v>
      </c>
      <c r="J73" s="5">
        <v>4.4930000000000003</v>
      </c>
      <c r="K73" s="5">
        <v>3</v>
      </c>
      <c r="L73" s="5">
        <v>121.8</v>
      </c>
    </row>
    <row r="74" spans="1:12" x14ac:dyDescent="0.3">
      <c r="A74" s="10">
        <v>43313</v>
      </c>
      <c r="B74" s="6">
        <v>18130</v>
      </c>
      <c r="C74" s="6">
        <v>60511394498.739998</v>
      </c>
      <c r="D74" s="8">
        <v>1.1221999999999999E-2</v>
      </c>
      <c r="E74" s="8">
        <v>2.1236000000000001E-2</v>
      </c>
      <c r="F74" s="8">
        <v>0.54700000000000004</v>
      </c>
      <c r="G74" s="6">
        <v>0.125</v>
      </c>
      <c r="H74" s="6">
        <v>23</v>
      </c>
      <c r="I74" s="6">
        <v>2.585</v>
      </c>
      <c r="J74" s="6">
        <v>4.46</v>
      </c>
      <c r="K74" s="6">
        <v>3</v>
      </c>
      <c r="L74" s="6">
        <v>111.6</v>
      </c>
    </row>
    <row r="75" spans="1:12" x14ac:dyDescent="0.3">
      <c r="A75" s="9">
        <v>43344</v>
      </c>
      <c r="B75" s="5">
        <v>18446</v>
      </c>
      <c r="C75" s="5">
        <v>61486504997.120003</v>
      </c>
      <c r="D75" s="7">
        <v>1.1166000000000001E-2</v>
      </c>
      <c r="E75" s="7">
        <v>2.1239999999999998E-2</v>
      </c>
      <c r="F75" s="7">
        <v>0.54679999999999995</v>
      </c>
      <c r="G75" s="5">
        <v>0.125</v>
      </c>
      <c r="H75" s="5">
        <v>33</v>
      </c>
      <c r="I75" s="5">
        <v>2.7669999999999999</v>
      </c>
      <c r="J75" s="5">
        <v>4.4539999999999997</v>
      </c>
      <c r="K75" s="5">
        <v>3</v>
      </c>
      <c r="L75" s="5">
        <v>101.6</v>
      </c>
    </row>
    <row r="76" spans="1:12" x14ac:dyDescent="0.3">
      <c r="A76" s="10">
        <v>43374</v>
      </c>
      <c r="B76" s="6">
        <v>18774</v>
      </c>
      <c r="C76" s="6">
        <v>62548534835.870003</v>
      </c>
      <c r="D76" s="8">
        <v>1.1310000000000001E-2</v>
      </c>
      <c r="E76" s="8">
        <v>2.1301E-2</v>
      </c>
      <c r="F76" s="8">
        <v>0.54679999999999995</v>
      </c>
      <c r="G76" s="6">
        <v>0.12479999999999999</v>
      </c>
      <c r="H76" s="6">
        <v>23</v>
      </c>
      <c r="I76" s="6">
        <v>2.4359999999999999</v>
      </c>
      <c r="J76" s="6">
        <v>4.5279999999999996</v>
      </c>
      <c r="K76" s="6">
        <v>3</v>
      </c>
      <c r="L76" s="6">
        <v>111.2</v>
      </c>
    </row>
    <row r="77" spans="1:12" x14ac:dyDescent="0.3">
      <c r="A77" s="9">
        <v>43405</v>
      </c>
      <c r="B77" s="5">
        <v>19079</v>
      </c>
      <c r="C77" s="5">
        <v>63569445696.769997</v>
      </c>
      <c r="D77" s="7">
        <v>1.1235999999999999E-2</v>
      </c>
      <c r="E77" s="7">
        <v>2.1262E-2</v>
      </c>
      <c r="F77" s="7">
        <v>0.54669999999999996</v>
      </c>
      <c r="G77" s="5">
        <v>0.12470000000000001</v>
      </c>
      <c r="H77" s="5">
        <v>29</v>
      </c>
      <c r="I77" s="5">
        <v>3.0409999999999999</v>
      </c>
      <c r="J77" s="5">
        <v>4.9889999999999999</v>
      </c>
      <c r="K77" s="5">
        <v>3</v>
      </c>
      <c r="L77" s="5">
        <v>116.4</v>
      </c>
    </row>
    <row r="78" spans="1:12" x14ac:dyDescent="0.3">
      <c r="A78" s="10">
        <v>43435</v>
      </c>
      <c r="B78" s="6">
        <v>19379</v>
      </c>
      <c r="C78" s="6">
        <v>64482829143.970001</v>
      </c>
      <c r="D78" s="8">
        <v>1.1145E-2</v>
      </c>
      <c r="E78" s="8">
        <v>2.1257999999999999E-2</v>
      </c>
      <c r="F78" s="8">
        <v>0.54649999999999999</v>
      </c>
      <c r="G78" s="6">
        <v>0.125</v>
      </c>
      <c r="H78" s="6">
        <v>33</v>
      </c>
      <c r="I78" s="6">
        <v>2.69</v>
      </c>
      <c r="J78" s="6">
        <v>4.67</v>
      </c>
      <c r="K78" s="6">
        <v>3</v>
      </c>
      <c r="L78" s="6">
        <v>119.9</v>
      </c>
    </row>
    <row r="79" spans="1:12" x14ac:dyDescent="0.3">
      <c r="A79" s="9">
        <v>43466</v>
      </c>
      <c r="B79" s="5">
        <v>19680</v>
      </c>
      <c r="C79" s="5">
        <v>65449629241.970001</v>
      </c>
      <c r="D79" s="7">
        <v>1.1186E-2</v>
      </c>
      <c r="E79" s="7">
        <v>2.1229000000000001E-2</v>
      </c>
      <c r="F79" s="7">
        <v>0.54649999999999999</v>
      </c>
      <c r="G79" s="5">
        <v>0.12529999999999999</v>
      </c>
      <c r="H79" s="5">
        <v>31</v>
      </c>
      <c r="I79" s="5">
        <v>2.427</v>
      </c>
      <c r="J79" s="5">
        <v>4.6239999999999997</v>
      </c>
      <c r="K79" s="5">
        <v>3</v>
      </c>
      <c r="L79" s="5">
        <v>116</v>
      </c>
    </row>
    <row r="80" spans="1:12" x14ac:dyDescent="0.3">
      <c r="A80" s="10">
        <v>43497</v>
      </c>
      <c r="B80" s="6">
        <v>19849</v>
      </c>
      <c r="C80" s="6">
        <v>65772405376.379997</v>
      </c>
      <c r="D80" s="8">
        <v>1.1188999999999999E-2</v>
      </c>
      <c r="E80" s="8">
        <v>2.1252E-2</v>
      </c>
      <c r="F80" s="8">
        <v>0.54659999999999997</v>
      </c>
      <c r="G80" s="6">
        <v>0.12540000000000001</v>
      </c>
      <c r="H80" s="6">
        <v>29</v>
      </c>
      <c r="I80" s="6">
        <v>2.3919999999999999</v>
      </c>
      <c r="J80" s="6">
        <v>4.8029999999999999</v>
      </c>
      <c r="K80" s="6">
        <v>3</v>
      </c>
      <c r="L80" s="6">
        <v>118.7</v>
      </c>
    </row>
    <row r="81" spans="1:12" x14ac:dyDescent="0.3">
      <c r="A81" s="9">
        <v>43525</v>
      </c>
      <c r="B81" s="5">
        <v>20058</v>
      </c>
      <c r="C81" s="5">
        <v>66355628430.5</v>
      </c>
      <c r="D81" s="7">
        <v>1.1155E-2</v>
      </c>
      <c r="E81" s="7">
        <v>2.1233999999999999E-2</v>
      </c>
      <c r="F81" s="7">
        <v>0.54679999999999995</v>
      </c>
      <c r="G81" s="5">
        <v>0.12520000000000001</v>
      </c>
      <c r="H81" s="5">
        <v>35</v>
      </c>
      <c r="I81" s="5">
        <v>2.355</v>
      </c>
      <c r="J81" s="5">
        <v>4.657</v>
      </c>
      <c r="K81" s="5">
        <v>3</v>
      </c>
      <c r="L81" s="5">
        <v>106.4</v>
      </c>
    </row>
    <row r="82" spans="1:12" x14ac:dyDescent="0.3">
      <c r="A82" s="10">
        <v>43556</v>
      </c>
      <c r="B82" s="6">
        <v>20245</v>
      </c>
      <c r="C82" s="6">
        <v>66878149287.300003</v>
      </c>
      <c r="D82" s="8">
        <v>1.1145E-2</v>
      </c>
      <c r="E82" s="8">
        <v>2.1228E-2</v>
      </c>
      <c r="F82" s="8">
        <v>0.54659999999999997</v>
      </c>
      <c r="G82" s="6">
        <v>0.12520000000000001</v>
      </c>
      <c r="H82" s="6">
        <v>39</v>
      </c>
      <c r="I82" s="6">
        <v>2.2240000000000002</v>
      </c>
      <c r="J82" s="6">
        <v>4.6660000000000004</v>
      </c>
      <c r="K82" s="6">
        <v>3</v>
      </c>
      <c r="L82" s="6">
        <v>122.9</v>
      </c>
    </row>
    <row r="83" spans="1:12" x14ac:dyDescent="0.3">
      <c r="A83" s="9">
        <v>43586</v>
      </c>
      <c r="B83" s="5">
        <v>20376</v>
      </c>
      <c r="C83" s="5">
        <v>67138333471.529999</v>
      </c>
      <c r="D83" s="7">
        <v>1.1198E-2</v>
      </c>
      <c r="E83" s="7">
        <v>2.1302999999999999E-2</v>
      </c>
      <c r="F83" s="7">
        <v>0.5464</v>
      </c>
      <c r="G83" s="5">
        <v>0.125</v>
      </c>
      <c r="H83" s="5">
        <v>29</v>
      </c>
      <c r="I83" s="5">
        <v>2.2909999999999999</v>
      </c>
      <c r="J83" s="5">
        <v>4.83</v>
      </c>
      <c r="K83" s="5">
        <v>3</v>
      </c>
      <c r="L83" s="5">
        <v>119.6</v>
      </c>
    </row>
    <row r="84" spans="1:12" x14ac:dyDescent="0.3">
      <c r="A84" s="10">
        <v>43617</v>
      </c>
      <c r="B84" s="6">
        <v>20543</v>
      </c>
      <c r="C84" s="6">
        <v>67552510329.25</v>
      </c>
      <c r="D84" s="8">
        <v>1.1206000000000001E-2</v>
      </c>
      <c r="E84" s="8">
        <v>2.1368000000000002E-2</v>
      </c>
      <c r="F84" s="8">
        <v>0.5464</v>
      </c>
      <c r="G84" s="6">
        <v>0.125</v>
      </c>
      <c r="H84" s="6">
        <v>28</v>
      </c>
      <c r="I84" s="6">
        <v>1.956</v>
      </c>
      <c r="J84" s="6">
        <v>4.694</v>
      </c>
      <c r="K84" s="6">
        <v>3</v>
      </c>
      <c r="L84" s="6">
        <v>114.8</v>
      </c>
    </row>
    <row r="85" spans="1:12" x14ac:dyDescent="0.3">
      <c r="A85" s="9">
        <v>43647</v>
      </c>
      <c r="B85" s="5">
        <v>20782</v>
      </c>
      <c r="C85" s="5">
        <v>68305153570.849998</v>
      </c>
      <c r="D85" s="7">
        <v>1.1166000000000001E-2</v>
      </c>
      <c r="E85" s="7">
        <v>2.1388999999999998E-2</v>
      </c>
      <c r="F85" s="7">
        <v>0.5464</v>
      </c>
      <c r="G85" s="5">
        <v>0.1246</v>
      </c>
      <c r="H85" s="5">
        <v>41</v>
      </c>
      <c r="I85" s="5">
        <v>2.649</v>
      </c>
      <c r="J85" s="5">
        <v>4.5860000000000003</v>
      </c>
      <c r="K85" s="5">
        <v>3</v>
      </c>
      <c r="L85" s="5">
        <v>123.1</v>
      </c>
    </row>
    <row r="86" spans="1:12" x14ac:dyDescent="0.3">
      <c r="A86" s="10">
        <v>43678</v>
      </c>
      <c r="B86" s="6">
        <v>20949</v>
      </c>
      <c r="C86" s="6">
        <v>68711478566.910004</v>
      </c>
      <c r="D86" s="8">
        <v>1.1240999999999999E-2</v>
      </c>
      <c r="E86" s="8">
        <v>2.1495E-2</v>
      </c>
      <c r="F86" s="8">
        <v>0.5464</v>
      </c>
      <c r="G86" s="6">
        <v>0.12470000000000001</v>
      </c>
      <c r="H86" s="6">
        <v>24</v>
      </c>
      <c r="I86" s="6">
        <v>2.363</v>
      </c>
      <c r="J86" s="6">
        <v>4.7469999999999999</v>
      </c>
      <c r="K86" s="6">
        <v>3</v>
      </c>
      <c r="L86" s="6">
        <v>126.8</v>
      </c>
    </row>
    <row r="87" spans="1:12" x14ac:dyDescent="0.3">
      <c r="A87" s="9">
        <v>43709</v>
      </c>
      <c r="B87" s="5">
        <v>21154</v>
      </c>
      <c r="C87" s="5">
        <v>69068099404.050003</v>
      </c>
      <c r="D87" s="7">
        <v>1.1221E-2</v>
      </c>
      <c r="E87" s="7">
        <v>2.1477E-2</v>
      </c>
      <c r="F87" s="7">
        <v>0.54620000000000002</v>
      </c>
      <c r="G87" s="5">
        <v>0.1245</v>
      </c>
      <c r="H87" s="5">
        <v>29</v>
      </c>
      <c r="I87" s="5">
        <v>2.33</v>
      </c>
      <c r="J87" s="5">
        <v>4.7530000000000001</v>
      </c>
      <c r="K87" s="5">
        <v>3</v>
      </c>
      <c r="L87" s="5">
        <v>121.9</v>
      </c>
    </row>
    <row r="88" spans="1:12" x14ac:dyDescent="0.3">
      <c r="A88" s="10">
        <v>43739</v>
      </c>
      <c r="B88" s="6">
        <v>21350</v>
      </c>
      <c r="C88" s="6">
        <v>69707200859.990005</v>
      </c>
      <c r="D88" s="8">
        <v>1.1324000000000001E-2</v>
      </c>
      <c r="E88" s="8">
        <v>2.1569999999999999E-2</v>
      </c>
      <c r="F88" s="8">
        <v>0.54600000000000004</v>
      </c>
      <c r="G88" s="6">
        <v>0.12429999999999999</v>
      </c>
      <c r="H88" s="6">
        <v>25</v>
      </c>
      <c r="I88" s="6">
        <v>2.4809999999999999</v>
      </c>
      <c r="J88" s="6">
        <v>4.6970000000000001</v>
      </c>
      <c r="K88" s="6">
        <v>3</v>
      </c>
      <c r="L88" s="6">
        <v>112.9</v>
      </c>
    </row>
    <row r="89" spans="1:12" x14ac:dyDescent="0.3">
      <c r="A89" s="9">
        <v>43770</v>
      </c>
      <c r="B89" s="5">
        <v>21543</v>
      </c>
      <c r="C89" s="5">
        <v>70232264097.679993</v>
      </c>
      <c r="D89" s="7">
        <v>1.1305000000000001E-2</v>
      </c>
      <c r="E89" s="7">
        <v>2.1496999999999999E-2</v>
      </c>
      <c r="F89" s="7">
        <v>0.54600000000000004</v>
      </c>
      <c r="G89" s="5">
        <v>0.1242</v>
      </c>
      <c r="H89" s="5">
        <v>38</v>
      </c>
      <c r="I89" s="5">
        <v>2.0990000000000002</v>
      </c>
      <c r="J89" s="5">
        <v>4.7380000000000004</v>
      </c>
      <c r="K89" s="5">
        <v>3</v>
      </c>
      <c r="L89" s="5">
        <v>127.3</v>
      </c>
    </row>
    <row r="90" spans="1:12" x14ac:dyDescent="0.3">
      <c r="A90" s="10">
        <v>43800</v>
      </c>
      <c r="B90" s="6">
        <v>21690</v>
      </c>
      <c r="C90" s="6">
        <v>70626056997.660004</v>
      </c>
      <c r="D90" s="8">
        <v>1.1483E-2</v>
      </c>
      <c r="E90" s="8">
        <v>2.1583000000000001E-2</v>
      </c>
      <c r="F90" s="8">
        <v>0.54579999999999995</v>
      </c>
      <c r="G90" s="6">
        <v>0.1239</v>
      </c>
      <c r="H90" s="6">
        <v>33</v>
      </c>
      <c r="I90" s="6">
        <v>2.1869999999999998</v>
      </c>
      <c r="J90" s="6">
        <v>4.734</v>
      </c>
      <c r="K90" s="6">
        <v>3</v>
      </c>
      <c r="L90" s="6">
        <v>129.80000000000001</v>
      </c>
    </row>
    <row r="91" spans="1:12" x14ac:dyDescent="0.3">
      <c r="A91" s="9">
        <v>43831</v>
      </c>
      <c r="B91" s="5">
        <v>21884</v>
      </c>
      <c r="C91" s="5">
        <v>71283595075.940002</v>
      </c>
      <c r="D91" s="7">
        <v>1.1535E-2</v>
      </c>
      <c r="E91" s="7">
        <v>2.1602E-2</v>
      </c>
      <c r="F91" s="7">
        <v>0.54559999999999997</v>
      </c>
      <c r="G91" s="5">
        <v>0.1239</v>
      </c>
      <c r="H91" s="5">
        <v>24</v>
      </c>
      <c r="I91" s="5">
        <v>2.61</v>
      </c>
      <c r="J91" s="5">
        <v>4.78</v>
      </c>
      <c r="K91" s="5">
        <v>3</v>
      </c>
      <c r="L91" s="5">
        <v>126.6</v>
      </c>
    </row>
    <row r="92" spans="1:12" x14ac:dyDescent="0.3">
      <c r="A92" s="10">
        <v>43862</v>
      </c>
      <c r="B92" s="6">
        <v>21983</v>
      </c>
      <c r="C92" s="6">
        <v>71571044190.690002</v>
      </c>
      <c r="D92" s="8">
        <v>1.1356E-2</v>
      </c>
      <c r="E92" s="8">
        <v>2.1569000000000001E-2</v>
      </c>
      <c r="F92" s="8">
        <v>0.5454</v>
      </c>
      <c r="G92" s="6">
        <v>0.1239</v>
      </c>
      <c r="H92" s="6">
        <v>29</v>
      </c>
      <c r="I92" s="6">
        <v>2.931</v>
      </c>
      <c r="J92" s="6">
        <v>4.8550000000000004</v>
      </c>
      <c r="K92" s="6">
        <v>3</v>
      </c>
      <c r="L92" s="6">
        <v>139.19999999999999</v>
      </c>
    </row>
    <row r="93" spans="1:12" x14ac:dyDescent="0.3">
      <c r="A93" s="9">
        <v>43891</v>
      </c>
      <c r="B93" s="5">
        <v>22049</v>
      </c>
      <c r="C93" s="5">
        <v>71794273935.899994</v>
      </c>
      <c r="D93" s="7">
        <v>1.1664000000000001E-2</v>
      </c>
      <c r="E93" s="7">
        <v>2.1926000000000001E-2</v>
      </c>
      <c r="F93" s="7">
        <v>0.54569999999999996</v>
      </c>
      <c r="G93" s="5">
        <v>0.1239</v>
      </c>
      <c r="H93" s="5">
        <v>24</v>
      </c>
      <c r="I93" s="5">
        <v>-4.2569999999999997</v>
      </c>
      <c r="J93" s="5">
        <v>12.279</v>
      </c>
      <c r="K93" s="5">
        <v>1.5</v>
      </c>
      <c r="L93" s="5">
        <v>307.3</v>
      </c>
    </row>
    <row r="94" spans="1:12" x14ac:dyDescent="0.3">
      <c r="A94" s="10">
        <v>43922</v>
      </c>
      <c r="B94" s="6">
        <v>22176</v>
      </c>
      <c r="C94" s="6">
        <v>72711351854.100006</v>
      </c>
      <c r="D94" s="8">
        <v>1.179E-2</v>
      </c>
      <c r="E94" s="8">
        <v>2.2206E-2</v>
      </c>
      <c r="F94" s="8">
        <v>0.54569999999999996</v>
      </c>
      <c r="G94" s="6">
        <v>0.12379999999999999</v>
      </c>
      <c r="H94" s="6">
        <v>1063</v>
      </c>
      <c r="I94" s="6">
        <v>-3.0859999999999999</v>
      </c>
      <c r="J94" s="6">
        <v>12.173</v>
      </c>
      <c r="K94" s="6">
        <v>1.5</v>
      </c>
      <c r="L94" s="6">
        <v>288.2</v>
      </c>
    </row>
    <row r="95" spans="1:12" x14ac:dyDescent="0.3">
      <c r="A95" s="9">
        <v>43952</v>
      </c>
      <c r="B95" s="5">
        <v>22273</v>
      </c>
      <c r="C95" s="5">
        <v>73138813235.740005</v>
      </c>
      <c r="D95" s="7">
        <v>1.2017E-2</v>
      </c>
      <c r="E95" s="7">
        <v>2.2454000000000002E-2</v>
      </c>
      <c r="F95" s="7">
        <v>0.54600000000000004</v>
      </c>
      <c r="G95" s="5">
        <v>0.1239</v>
      </c>
      <c r="H95" s="5">
        <v>1045</v>
      </c>
      <c r="I95" s="5">
        <v>-2.6419999999999999</v>
      </c>
      <c r="J95" s="5">
        <v>12.034000000000001</v>
      </c>
      <c r="K95" s="5">
        <v>1.5</v>
      </c>
      <c r="L95" s="5">
        <v>263.5</v>
      </c>
    </row>
    <row r="96" spans="1:12" x14ac:dyDescent="0.3">
      <c r="A96" s="10">
        <v>43983</v>
      </c>
      <c r="B96" s="6">
        <v>22406</v>
      </c>
      <c r="C96" s="6">
        <v>73422641662.119995</v>
      </c>
      <c r="D96" s="8">
        <v>1.2038999999999999E-2</v>
      </c>
      <c r="E96" s="8">
        <v>2.2675000000000001E-2</v>
      </c>
      <c r="F96" s="8">
        <v>0.54569999999999996</v>
      </c>
      <c r="G96" s="6">
        <v>0.1242</v>
      </c>
      <c r="H96" s="6">
        <v>957</v>
      </c>
      <c r="I96" s="6">
        <v>-2.3959999999999999</v>
      </c>
      <c r="J96" s="6">
        <v>11.779</v>
      </c>
      <c r="K96" s="6">
        <v>1.5</v>
      </c>
      <c r="L96" s="6">
        <v>247</v>
      </c>
    </row>
    <row r="97" spans="1:12" x14ac:dyDescent="0.3">
      <c r="A97" s="9">
        <v>44013</v>
      </c>
      <c r="B97" s="5">
        <v>22485</v>
      </c>
      <c r="C97" s="5">
        <v>73787557716.520004</v>
      </c>
      <c r="D97" s="7">
        <v>1.2149E-2</v>
      </c>
      <c r="E97" s="7">
        <v>2.2877000000000002E-2</v>
      </c>
      <c r="F97" s="7">
        <v>0.5454</v>
      </c>
      <c r="G97" s="5">
        <v>0.124</v>
      </c>
      <c r="H97" s="5">
        <v>30</v>
      </c>
      <c r="I97" s="5">
        <v>-1.9079999999999999</v>
      </c>
      <c r="J97" s="5">
        <v>11.414999999999999</v>
      </c>
      <c r="K97" s="5">
        <v>1.5</v>
      </c>
      <c r="L97" s="5">
        <v>238</v>
      </c>
    </row>
    <row r="98" spans="1:12" x14ac:dyDescent="0.3">
      <c r="A98" s="10">
        <v>44044</v>
      </c>
      <c r="B98" s="6">
        <v>22592</v>
      </c>
      <c r="C98" s="6">
        <v>74074305299.610001</v>
      </c>
      <c r="D98" s="8">
        <v>1.2201E-2</v>
      </c>
      <c r="E98" s="8">
        <v>2.2976E-2</v>
      </c>
      <c r="F98" s="8">
        <v>0.5454</v>
      </c>
      <c r="G98" s="6">
        <v>0.124</v>
      </c>
      <c r="H98" s="6">
        <v>36</v>
      </c>
      <c r="I98" s="6">
        <v>-1.0449999999999999</v>
      </c>
      <c r="J98" s="6">
        <v>11.108000000000001</v>
      </c>
      <c r="K98" s="6">
        <v>1.5</v>
      </c>
      <c r="L98" s="6">
        <v>232.3</v>
      </c>
    </row>
    <row r="99" spans="1:12" x14ac:dyDescent="0.3">
      <c r="A99" s="9">
        <v>44075</v>
      </c>
      <c r="B99" s="5">
        <v>22728</v>
      </c>
      <c r="C99" s="5">
        <v>74690697058.740005</v>
      </c>
      <c r="D99" s="7">
        <v>1.2224E-2</v>
      </c>
      <c r="E99" s="7">
        <v>2.3153E-2</v>
      </c>
      <c r="F99" s="7">
        <v>0.54520000000000002</v>
      </c>
      <c r="G99" s="5">
        <v>0.12429999999999999</v>
      </c>
      <c r="H99" s="5">
        <v>22</v>
      </c>
      <c r="I99" s="5">
        <v>-1.306</v>
      </c>
      <c r="J99" s="5">
        <v>10.795</v>
      </c>
      <c r="K99" s="5">
        <v>1.5</v>
      </c>
      <c r="L99" s="5">
        <v>215.4</v>
      </c>
    </row>
    <row r="100" spans="1:12" x14ac:dyDescent="0.3">
      <c r="A100" s="10">
        <v>44105</v>
      </c>
      <c r="B100" s="6">
        <v>22854</v>
      </c>
      <c r="C100" s="6">
        <v>75148334680.770004</v>
      </c>
      <c r="D100" s="8">
        <v>1.2453000000000001E-2</v>
      </c>
      <c r="E100" s="8">
        <v>2.3411999999999999E-2</v>
      </c>
      <c r="F100" s="8">
        <v>0.5454</v>
      </c>
      <c r="G100" s="6">
        <v>0.12429999999999999</v>
      </c>
      <c r="H100" s="6">
        <v>32</v>
      </c>
      <c r="I100" s="6">
        <v>-1.2909999999999999</v>
      </c>
      <c r="J100" s="6">
        <v>10.374000000000001</v>
      </c>
      <c r="K100" s="6">
        <v>1.5</v>
      </c>
      <c r="L100" s="6">
        <v>204.1</v>
      </c>
    </row>
    <row r="101" spans="1:12" x14ac:dyDescent="0.3">
      <c r="A101" s="9">
        <v>44136</v>
      </c>
      <c r="B101" s="5">
        <v>22943</v>
      </c>
      <c r="C101" s="5">
        <v>75280278927.300003</v>
      </c>
      <c r="D101" s="7">
        <v>1.2467000000000001E-2</v>
      </c>
      <c r="E101" s="7">
        <v>2.3583E-2</v>
      </c>
      <c r="F101" s="7">
        <v>0.54559999999999997</v>
      </c>
      <c r="G101" s="5">
        <v>0.12429999999999999</v>
      </c>
      <c r="H101" s="5">
        <v>41</v>
      </c>
      <c r="I101" s="5">
        <v>-0.63700000000000001</v>
      </c>
      <c r="J101" s="5">
        <v>9.9060000000000006</v>
      </c>
      <c r="K101" s="5">
        <v>1.5</v>
      </c>
      <c r="L101" s="5">
        <v>197</v>
      </c>
    </row>
    <row r="102" spans="1:12" x14ac:dyDescent="0.3">
      <c r="A102" s="10">
        <v>44166</v>
      </c>
      <c r="B102" s="6">
        <v>23040</v>
      </c>
      <c r="C102" s="6">
        <v>75332440838.570007</v>
      </c>
      <c r="D102" s="8">
        <v>1.2581E-2</v>
      </c>
      <c r="E102" s="8">
        <v>2.3716000000000001E-2</v>
      </c>
      <c r="F102" s="8">
        <v>0.54569999999999996</v>
      </c>
      <c r="G102" s="6">
        <v>0.124</v>
      </c>
      <c r="H102" s="6">
        <v>32</v>
      </c>
      <c r="I102" s="6">
        <v>-0.46899999999999997</v>
      </c>
      <c r="J102" s="6">
        <v>9.6120000000000001</v>
      </c>
      <c r="K102" s="6">
        <v>1.5</v>
      </c>
      <c r="L102" s="6">
        <v>198.3</v>
      </c>
    </row>
    <row r="103" spans="1:12" x14ac:dyDescent="0.3">
      <c r="A103" s="9">
        <v>44197</v>
      </c>
      <c r="B103" s="5">
        <v>23133</v>
      </c>
      <c r="C103" s="5">
        <v>75568146413.360001</v>
      </c>
      <c r="D103" s="7">
        <v>1.2534E-2</v>
      </c>
      <c r="E103" s="7">
        <v>2.3671000000000001E-2</v>
      </c>
      <c r="F103" s="7">
        <v>0.54559999999999997</v>
      </c>
      <c r="G103" s="5">
        <v>0.12429999999999999</v>
      </c>
      <c r="H103" s="5">
        <v>32</v>
      </c>
      <c r="I103" s="5">
        <v>4.49</v>
      </c>
      <c r="J103" s="5">
        <v>6.7320000000000002</v>
      </c>
      <c r="K103" s="5">
        <v>1.5</v>
      </c>
      <c r="L103" s="5">
        <v>190.2</v>
      </c>
    </row>
    <row r="104" spans="1:12" x14ac:dyDescent="0.3">
      <c r="A104" s="10">
        <v>44228</v>
      </c>
      <c r="B104" s="6">
        <v>23215</v>
      </c>
      <c r="C104" s="6">
        <v>76039848791.25</v>
      </c>
      <c r="D104" s="8">
        <v>1.2511E-2</v>
      </c>
      <c r="E104" s="8">
        <v>2.3623000000000002E-2</v>
      </c>
      <c r="F104" s="8">
        <v>0.54579999999999995</v>
      </c>
      <c r="G104" s="6">
        <v>0.124</v>
      </c>
      <c r="H104" s="6">
        <v>27</v>
      </c>
      <c r="I104" s="6">
        <v>4.0819999999999999</v>
      </c>
      <c r="J104" s="6">
        <v>6.6120000000000001</v>
      </c>
      <c r="K104" s="6">
        <v>1.5</v>
      </c>
      <c r="L104" s="6">
        <v>186.2</v>
      </c>
    </row>
    <row r="105" spans="1:12" x14ac:dyDescent="0.3">
      <c r="A105" s="9">
        <v>44256</v>
      </c>
      <c r="B105" s="5">
        <v>23267</v>
      </c>
      <c r="C105" s="5">
        <v>76282923523.229996</v>
      </c>
      <c r="D105" s="7">
        <v>1.2514000000000001E-2</v>
      </c>
      <c r="E105" s="7">
        <v>2.3623000000000002E-2</v>
      </c>
      <c r="F105" s="7">
        <v>0.54630000000000001</v>
      </c>
      <c r="G105" s="5">
        <v>0.124</v>
      </c>
      <c r="H105" s="5">
        <v>34</v>
      </c>
      <c r="I105" s="5">
        <v>3.9769999999999999</v>
      </c>
      <c r="J105" s="5">
        <v>6.3680000000000003</v>
      </c>
      <c r="K105" s="5">
        <v>1.5</v>
      </c>
      <c r="L105" s="5">
        <v>181.3</v>
      </c>
    </row>
    <row r="106" spans="1:12" x14ac:dyDescent="0.3">
      <c r="A106" s="10">
        <v>44287</v>
      </c>
      <c r="B106" s="6">
        <v>23363</v>
      </c>
      <c r="C106" s="6">
        <v>76574355605.720001</v>
      </c>
      <c r="D106" s="8">
        <v>1.2429000000000001E-2</v>
      </c>
      <c r="E106" s="8">
        <v>2.3598999999999998E-2</v>
      </c>
      <c r="F106" s="8">
        <v>0.54610000000000003</v>
      </c>
      <c r="G106" s="6">
        <v>0.12429999999999999</v>
      </c>
      <c r="H106" s="6">
        <v>35</v>
      </c>
      <c r="I106" s="6">
        <v>3.8980000000000001</v>
      </c>
      <c r="J106" s="6">
        <v>6.6779999999999999</v>
      </c>
      <c r="K106" s="6">
        <v>1.5</v>
      </c>
      <c r="L106" s="6">
        <v>191.1</v>
      </c>
    </row>
    <row r="107" spans="1:12" x14ac:dyDescent="0.3">
      <c r="A107" s="9">
        <v>44317</v>
      </c>
      <c r="B107" s="5">
        <v>23498</v>
      </c>
      <c r="C107" s="5">
        <v>77240811301.619995</v>
      </c>
      <c r="D107" s="7">
        <v>1.2470999999999999E-2</v>
      </c>
      <c r="E107" s="7">
        <v>2.3647999999999999E-2</v>
      </c>
      <c r="F107" s="7">
        <v>0.54590000000000005</v>
      </c>
      <c r="G107" s="5">
        <v>0.1245</v>
      </c>
      <c r="H107" s="5">
        <v>33</v>
      </c>
      <c r="I107" s="5">
        <v>3.5019999999999998</v>
      </c>
      <c r="J107" s="5">
        <v>6.5510000000000002</v>
      </c>
      <c r="K107" s="5">
        <v>1.5</v>
      </c>
      <c r="L107" s="5">
        <v>173.3</v>
      </c>
    </row>
    <row r="108" spans="1:12" x14ac:dyDescent="0.3">
      <c r="A108" s="10">
        <v>44348</v>
      </c>
      <c r="B108" s="6">
        <v>23614</v>
      </c>
      <c r="C108" s="6">
        <v>77860836699.509995</v>
      </c>
      <c r="D108" s="8">
        <v>1.2444E-2</v>
      </c>
      <c r="E108" s="8">
        <v>2.3602000000000001E-2</v>
      </c>
      <c r="F108" s="8">
        <v>0.54559999999999997</v>
      </c>
      <c r="G108" s="6">
        <v>0.1249</v>
      </c>
      <c r="H108" s="6">
        <v>40</v>
      </c>
      <c r="I108" s="6">
        <v>3.2240000000000002</v>
      </c>
      <c r="J108" s="6">
        <v>6.52</v>
      </c>
      <c r="K108" s="6">
        <v>1.5</v>
      </c>
      <c r="L108" s="6">
        <v>178.6</v>
      </c>
    </row>
    <row r="109" spans="1:12" x14ac:dyDescent="0.3">
      <c r="A109" s="9">
        <v>44378</v>
      </c>
      <c r="B109" s="5">
        <v>23725</v>
      </c>
      <c r="C109" s="5">
        <v>78100954373.759995</v>
      </c>
      <c r="D109" s="7">
        <v>1.2437E-2</v>
      </c>
      <c r="E109" s="7">
        <v>2.3598000000000001E-2</v>
      </c>
      <c r="F109" s="7">
        <v>0.54559999999999997</v>
      </c>
      <c r="G109" s="5">
        <v>0.125</v>
      </c>
      <c r="H109" s="5">
        <v>35</v>
      </c>
      <c r="I109" s="5">
        <v>2.9329999999999998</v>
      </c>
      <c r="J109" s="5">
        <v>6.3460000000000001</v>
      </c>
      <c r="K109" s="5">
        <v>1.5</v>
      </c>
      <c r="L109" s="5">
        <v>156.6</v>
      </c>
    </row>
    <row r="110" spans="1:12" x14ac:dyDescent="0.3">
      <c r="A110" s="10">
        <v>44409</v>
      </c>
      <c r="B110" s="6">
        <v>23837</v>
      </c>
      <c r="C110" s="6">
        <v>78415069780.470001</v>
      </c>
      <c r="D110" s="8">
        <v>1.2402E-2</v>
      </c>
      <c r="E110" s="8">
        <v>2.3643999999999998E-2</v>
      </c>
      <c r="F110" s="8">
        <v>0.54569999999999996</v>
      </c>
      <c r="G110" s="6">
        <v>0.12540000000000001</v>
      </c>
      <c r="H110" s="6">
        <v>36</v>
      </c>
      <c r="I110" s="6">
        <v>2.8410000000000002</v>
      </c>
      <c r="J110" s="6">
        <v>6.12</v>
      </c>
      <c r="K110" s="6">
        <v>1.5</v>
      </c>
      <c r="L110" s="6">
        <v>149.69999999999999</v>
      </c>
    </row>
    <row r="111" spans="1:12" x14ac:dyDescent="0.3">
      <c r="A111" s="9">
        <v>44440</v>
      </c>
      <c r="B111" s="5">
        <v>23909</v>
      </c>
      <c r="C111" s="5">
        <v>78509352230.179993</v>
      </c>
      <c r="D111" s="7">
        <v>1.2425E-2</v>
      </c>
      <c r="E111" s="7">
        <v>2.3605000000000001E-2</v>
      </c>
      <c r="F111" s="7">
        <v>0.5454</v>
      </c>
      <c r="G111" s="5">
        <v>0.125</v>
      </c>
      <c r="H111" s="5">
        <v>37</v>
      </c>
      <c r="I111" s="5">
        <v>2.544</v>
      </c>
      <c r="J111" s="5">
        <v>6.0490000000000004</v>
      </c>
      <c r="K111" s="5">
        <v>1.5</v>
      </c>
      <c r="L111" s="5">
        <v>133.69999999999999</v>
      </c>
    </row>
    <row r="112" spans="1:12" x14ac:dyDescent="0.3">
      <c r="A112" s="10">
        <v>44470</v>
      </c>
      <c r="B112" s="6">
        <v>23984</v>
      </c>
      <c r="C112" s="6">
        <v>78712739753.320007</v>
      </c>
      <c r="D112" s="8">
        <v>1.2435999999999999E-2</v>
      </c>
      <c r="E112" s="8">
        <v>2.358E-2</v>
      </c>
      <c r="F112" s="8">
        <v>0.54559999999999997</v>
      </c>
      <c r="G112" s="6">
        <v>0.12479999999999999</v>
      </c>
      <c r="H112" s="6">
        <v>35</v>
      </c>
      <c r="I112" s="6">
        <v>2.0990000000000002</v>
      </c>
      <c r="J112" s="6">
        <v>6.3159999999999998</v>
      </c>
      <c r="K112" s="6">
        <v>1.5</v>
      </c>
      <c r="L112" s="6">
        <v>123</v>
      </c>
    </row>
    <row r="113" spans="1:12" x14ac:dyDescent="0.3">
      <c r="A113" s="9">
        <v>44501</v>
      </c>
      <c r="B113" s="5">
        <v>24065</v>
      </c>
      <c r="C113" s="5">
        <v>78876269222.559998</v>
      </c>
      <c r="D113" s="7">
        <v>1.2388E-2</v>
      </c>
      <c r="E113" s="7">
        <v>2.3592999999999999E-2</v>
      </c>
      <c r="F113" s="7">
        <v>0.54549999999999998</v>
      </c>
      <c r="G113" s="5">
        <v>0.1249</v>
      </c>
      <c r="H113" s="5">
        <v>41</v>
      </c>
      <c r="I113" s="5">
        <v>1.81</v>
      </c>
      <c r="J113" s="5">
        <v>6.5259999999999998</v>
      </c>
      <c r="K113" s="5">
        <v>1.5</v>
      </c>
      <c r="L113" s="5">
        <v>146.9</v>
      </c>
    </row>
    <row r="114" spans="1:12" x14ac:dyDescent="0.3">
      <c r="A114" s="10">
        <v>44531</v>
      </c>
      <c r="B114" s="6">
        <v>24184</v>
      </c>
      <c r="C114" s="6">
        <v>79373997894.330002</v>
      </c>
      <c r="D114" s="8">
        <v>1.2375000000000001E-2</v>
      </c>
      <c r="E114" s="8">
        <v>2.3576E-2</v>
      </c>
      <c r="F114" s="8">
        <v>0.54530000000000001</v>
      </c>
      <c r="G114" s="6">
        <v>0.125</v>
      </c>
      <c r="H114" s="6">
        <v>36</v>
      </c>
      <c r="I114" s="6">
        <v>1.528</v>
      </c>
      <c r="J114" s="6">
        <v>6.3949999999999996</v>
      </c>
      <c r="K114" s="6">
        <v>1.5</v>
      </c>
      <c r="L114" s="6">
        <v>148</v>
      </c>
    </row>
    <row r="115" spans="1:12" x14ac:dyDescent="0.3">
      <c r="A115" s="9">
        <v>44562</v>
      </c>
      <c r="B115" s="5">
        <v>24340</v>
      </c>
      <c r="C115" s="5">
        <v>79969480902.470001</v>
      </c>
      <c r="D115" s="7">
        <v>1.2279999999999999E-2</v>
      </c>
      <c r="E115" s="7">
        <v>2.3546000000000001E-2</v>
      </c>
      <c r="F115" s="7">
        <v>0.54530000000000001</v>
      </c>
      <c r="G115" s="5">
        <v>0.12520000000000001</v>
      </c>
      <c r="H115" s="5">
        <v>33</v>
      </c>
      <c r="I115" s="5">
        <v>2.1440000000000001</v>
      </c>
      <c r="J115" s="5">
        <v>6.1769999999999996</v>
      </c>
      <c r="K115" s="5">
        <v>1.5</v>
      </c>
      <c r="L115" s="5">
        <v>144.19999999999999</v>
      </c>
    </row>
    <row r="116" spans="1:12" x14ac:dyDescent="0.3">
      <c r="A116" s="10">
        <v>44593</v>
      </c>
      <c r="B116" s="6">
        <v>24390</v>
      </c>
      <c r="C116" s="6">
        <v>80248616328.270004</v>
      </c>
      <c r="D116" s="8">
        <v>1.2290000000000001E-2</v>
      </c>
      <c r="E116" s="8">
        <v>2.3643000000000001E-2</v>
      </c>
      <c r="F116" s="8">
        <v>0.5454</v>
      </c>
      <c r="G116" s="6">
        <v>0.12520000000000001</v>
      </c>
      <c r="H116" s="6">
        <v>34</v>
      </c>
      <c r="I116" s="6">
        <v>2.4129999999999998</v>
      </c>
      <c r="J116" s="6">
        <v>6.1829999999999998</v>
      </c>
      <c r="K116" s="6">
        <v>1.5</v>
      </c>
      <c r="L116" s="6">
        <v>139.80000000000001</v>
      </c>
    </row>
    <row r="117" spans="1:12" x14ac:dyDescent="0.3">
      <c r="A117" s="9">
        <v>44621</v>
      </c>
      <c r="B117" s="5">
        <v>24434</v>
      </c>
      <c r="C117" s="5">
        <v>80702525823.440002</v>
      </c>
      <c r="D117" s="7">
        <v>1.2300999999999999E-2</v>
      </c>
      <c r="E117" s="7">
        <v>2.3616000000000002E-2</v>
      </c>
      <c r="F117" s="7">
        <v>0.54559999999999997</v>
      </c>
      <c r="G117" s="5">
        <v>0.12529999999999999</v>
      </c>
      <c r="H117" s="5">
        <v>46</v>
      </c>
      <c r="I117" s="5">
        <v>2.3809999999999998</v>
      </c>
      <c r="J117" s="5">
        <v>5.9180000000000001</v>
      </c>
      <c r="K117" s="5">
        <v>1.85</v>
      </c>
      <c r="L117" s="5">
        <v>136.9</v>
      </c>
    </row>
    <row r="118" spans="1:12" x14ac:dyDescent="0.3">
      <c r="A118" s="10">
        <v>44652</v>
      </c>
      <c r="B118" s="6">
        <v>24446</v>
      </c>
      <c r="C118" s="6">
        <v>80766085613.970001</v>
      </c>
      <c r="D118" s="8">
        <v>1.2343E-2</v>
      </c>
      <c r="E118" s="8">
        <v>2.3664000000000001E-2</v>
      </c>
      <c r="F118" s="8">
        <v>0.54559999999999997</v>
      </c>
      <c r="G118" s="6">
        <v>0.12509999999999999</v>
      </c>
      <c r="H118" s="6">
        <v>37</v>
      </c>
      <c r="I118" s="6">
        <v>2.3130000000000002</v>
      </c>
      <c r="J118" s="6">
        <v>5.907</v>
      </c>
      <c r="K118" s="6">
        <v>2.2000000000000002</v>
      </c>
      <c r="L118" s="6">
        <v>131.80000000000001</v>
      </c>
    </row>
    <row r="119" spans="1:12" x14ac:dyDescent="0.3">
      <c r="A119" s="9">
        <v>44682</v>
      </c>
      <c r="B119" s="5">
        <v>24454</v>
      </c>
      <c r="C119" s="5">
        <v>80227634054.020004</v>
      </c>
      <c r="D119" s="7">
        <v>1.2374E-2</v>
      </c>
      <c r="E119" s="7">
        <v>2.3675999999999999E-2</v>
      </c>
      <c r="F119" s="7">
        <v>0.54579999999999995</v>
      </c>
      <c r="G119" s="5">
        <v>0.12470000000000001</v>
      </c>
      <c r="H119" s="5">
        <v>43</v>
      </c>
      <c r="I119" s="5">
        <v>2.4729999999999999</v>
      </c>
      <c r="J119" s="5">
        <v>6.0129999999999999</v>
      </c>
      <c r="K119" s="5">
        <v>2.5499999999999998</v>
      </c>
      <c r="L119" s="5">
        <v>132.80000000000001</v>
      </c>
    </row>
    <row r="120" spans="1:12" x14ac:dyDescent="0.3">
      <c r="A120" s="10">
        <v>44713</v>
      </c>
      <c r="B120" s="6">
        <v>24448</v>
      </c>
      <c r="C120" s="6">
        <v>80134256056.460007</v>
      </c>
      <c r="D120" s="8">
        <v>1.2286E-2</v>
      </c>
      <c r="E120" s="8">
        <v>2.3640999999999999E-2</v>
      </c>
      <c r="F120" s="8">
        <v>0.54579999999999995</v>
      </c>
      <c r="G120" s="6">
        <v>0.12470000000000001</v>
      </c>
      <c r="H120" s="6">
        <v>40</v>
      </c>
      <c r="I120" s="6">
        <v>2.581</v>
      </c>
      <c r="J120" s="6">
        <v>5.9710000000000001</v>
      </c>
      <c r="K120" s="6">
        <v>2.9</v>
      </c>
      <c r="L120" s="6">
        <v>132.6</v>
      </c>
    </row>
    <row r="121" spans="1:12" x14ac:dyDescent="0.3">
      <c r="A121" s="9">
        <v>44743</v>
      </c>
      <c r="B121" s="5">
        <v>24537</v>
      </c>
      <c r="C121" s="5">
        <v>79964379053.820007</v>
      </c>
      <c r="D121" s="7">
        <v>1.223E-2</v>
      </c>
      <c r="E121" s="7">
        <v>2.3646E-2</v>
      </c>
      <c r="F121" s="7">
        <v>0.54579999999999995</v>
      </c>
      <c r="G121" s="5">
        <v>0.1245</v>
      </c>
      <c r="H121" s="5">
        <v>42</v>
      </c>
      <c r="I121" s="5">
        <v>2.3570000000000002</v>
      </c>
      <c r="J121" s="5">
        <v>5.97</v>
      </c>
      <c r="K121" s="5">
        <v>3.25</v>
      </c>
      <c r="L121" s="5">
        <v>131.5</v>
      </c>
    </row>
    <row r="122" spans="1:12" x14ac:dyDescent="0.3">
      <c r="A122" s="10">
        <v>44774</v>
      </c>
      <c r="B122" s="6">
        <v>24528</v>
      </c>
      <c r="C122" s="6">
        <v>79817176090.649994</v>
      </c>
      <c r="D122" s="8">
        <v>1.2260999999999999E-2</v>
      </c>
      <c r="E122" s="8">
        <v>2.3633000000000001E-2</v>
      </c>
      <c r="F122" s="8">
        <v>0.54569999999999996</v>
      </c>
      <c r="G122" s="6">
        <v>0.1245</v>
      </c>
      <c r="H122" s="6">
        <v>33</v>
      </c>
      <c r="I122" s="6">
        <v>2.9990000000000001</v>
      </c>
      <c r="J122" s="6">
        <v>6.157</v>
      </c>
      <c r="K122" s="6">
        <v>3.6</v>
      </c>
      <c r="L122" s="6">
        <v>134.5</v>
      </c>
    </row>
    <row r="123" spans="1:12" x14ac:dyDescent="0.3">
      <c r="A123" s="9">
        <v>44805</v>
      </c>
      <c r="B123" s="5">
        <v>24523</v>
      </c>
      <c r="C123" s="5">
        <v>79757553357.770004</v>
      </c>
      <c r="D123" s="7">
        <v>1.2215E-2</v>
      </c>
      <c r="E123" s="7">
        <v>2.3618E-2</v>
      </c>
      <c r="F123" s="7">
        <v>0.54569999999999996</v>
      </c>
      <c r="G123" s="5">
        <v>0.1245</v>
      </c>
      <c r="H123" s="5">
        <v>31</v>
      </c>
      <c r="I123" s="5">
        <v>2.72</v>
      </c>
      <c r="J123" s="5">
        <v>5.9320000000000004</v>
      </c>
      <c r="K123" s="5">
        <v>3.95</v>
      </c>
      <c r="L123" s="5">
        <v>143.5</v>
      </c>
    </row>
    <row r="124" spans="1:12" x14ac:dyDescent="0.3">
      <c r="A124" s="10">
        <v>44835</v>
      </c>
      <c r="B124" s="6">
        <v>24529</v>
      </c>
      <c r="C124" s="6">
        <v>79631639833.229996</v>
      </c>
      <c r="D124" s="8">
        <v>1.2172000000000001E-2</v>
      </c>
      <c r="E124" s="8">
        <v>2.3640000000000001E-2</v>
      </c>
      <c r="F124" s="8">
        <v>0.54590000000000005</v>
      </c>
      <c r="G124" s="6">
        <v>0.1244</v>
      </c>
      <c r="H124" s="6">
        <v>37</v>
      </c>
      <c r="I124" s="6">
        <v>2.7770000000000001</v>
      </c>
      <c r="J124" s="6">
        <v>5.9580000000000002</v>
      </c>
      <c r="K124" s="6">
        <v>4.3</v>
      </c>
      <c r="L124" s="6">
        <v>128.19999999999999</v>
      </c>
    </row>
    <row r="125" spans="1:12" x14ac:dyDescent="0.3">
      <c r="A125" s="9">
        <v>44866</v>
      </c>
      <c r="B125" s="5">
        <v>24552</v>
      </c>
      <c r="C125" s="5">
        <v>79766057376.389999</v>
      </c>
      <c r="D125" s="7">
        <v>1.2064999999999999E-2</v>
      </c>
      <c r="E125" s="7">
        <v>2.3555E-2</v>
      </c>
      <c r="F125" s="7">
        <v>0.54590000000000005</v>
      </c>
      <c r="G125" s="5">
        <v>0.12479999999999999</v>
      </c>
      <c r="H125" s="5">
        <v>51</v>
      </c>
      <c r="I125" s="5">
        <v>3.028</v>
      </c>
      <c r="J125" s="5">
        <v>5.9779999999999998</v>
      </c>
      <c r="K125" s="5">
        <v>4.6500000000000004</v>
      </c>
      <c r="L125" s="5">
        <v>119.5</v>
      </c>
    </row>
    <row r="126" spans="1:12" x14ac:dyDescent="0.3">
      <c r="A126" s="10">
        <v>44896</v>
      </c>
      <c r="B126" s="6">
        <v>24605</v>
      </c>
      <c r="C126" s="6">
        <v>80116383598.669998</v>
      </c>
      <c r="D126" s="8">
        <v>1.21E-2</v>
      </c>
      <c r="E126" s="8">
        <v>2.3573E-2</v>
      </c>
      <c r="F126" s="8">
        <v>0.54600000000000004</v>
      </c>
      <c r="G126" s="6">
        <v>0.12509999999999999</v>
      </c>
      <c r="H126" s="6">
        <v>39</v>
      </c>
      <c r="I126" s="6">
        <v>2.8330000000000002</v>
      </c>
      <c r="J126" s="6">
        <v>5.9690000000000003</v>
      </c>
      <c r="K126" s="6">
        <v>5</v>
      </c>
      <c r="L126" s="6">
        <v>121</v>
      </c>
    </row>
    <row r="127" spans="1:12" x14ac:dyDescent="0.3">
      <c r="A127" s="9">
        <v>44927</v>
      </c>
      <c r="B127" s="5">
        <v>24617</v>
      </c>
      <c r="C127" s="5">
        <v>79974630303.779999</v>
      </c>
      <c r="D127" s="7">
        <v>1.2061000000000001E-2</v>
      </c>
      <c r="E127" s="7">
        <v>2.3517E-2</v>
      </c>
      <c r="F127" s="7">
        <v>0.5464</v>
      </c>
      <c r="G127" s="5">
        <v>0.125</v>
      </c>
      <c r="H127" s="5">
        <v>35</v>
      </c>
      <c r="I127" s="5">
        <v>2.7120000000000002</v>
      </c>
      <c r="J127" s="5">
        <v>5.9050000000000002</v>
      </c>
      <c r="K127" s="5">
        <v>4.9249999999999998</v>
      </c>
      <c r="L127" s="5">
        <v>119.9</v>
      </c>
    </row>
    <row r="128" spans="1:12" x14ac:dyDescent="0.3">
      <c r="A128" s="10">
        <v>44958</v>
      </c>
      <c r="B128" s="6">
        <v>24605</v>
      </c>
      <c r="C128" s="6">
        <v>80039103854.729996</v>
      </c>
      <c r="D128" s="8">
        <v>1.1982E-2</v>
      </c>
      <c r="E128" s="8">
        <v>2.3453999999999999E-2</v>
      </c>
      <c r="F128" s="8">
        <v>0.5464</v>
      </c>
      <c r="G128" s="6">
        <v>0.12479999999999999</v>
      </c>
      <c r="H128" s="6">
        <v>34</v>
      </c>
      <c r="I128" s="6">
        <v>2.7370000000000001</v>
      </c>
      <c r="J128" s="6">
        <v>6.08</v>
      </c>
      <c r="K128" s="6">
        <v>4.8540000000000001</v>
      </c>
      <c r="L128" s="6">
        <v>100.4</v>
      </c>
    </row>
    <row r="129" spans="1:12" x14ac:dyDescent="0.3">
      <c r="A129" s="9">
        <v>44986</v>
      </c>
      <c r="B129" s="5">
        <v>24565</v>
      </c>
      <c r="C129" s="5">
        <v>80039978266.679993</v>
      </c>
      <c r="D129" s="7">
        <v>1.2033E-2</v>
      </c>
      <c r="E129" s="7">
        <v>2.341E-2</v>
      </c>
      <c r="F129" s="7">
        <v>0.54620000000000002</v>
      </c>
      <c r="G129" s="5">
        <v>0.1246</v>
      </c>
      <c r="H129" s="5">
        <v>35</v>
      </c>
      <c r="I129" s="5">
        <v>2.6419999999999999</v>
      </c>
      <c r="J129" s="5">
        <v>6.0529999999999999</v>
      </c>
      <c r="K129" s="5">
        <v>4.7859999999999996</v>
      </c>
      <c r="L129" s="5">
        <v>105.7</v>
      </c>
    </row>
    <row r="130" spans="1:12" x14ac:dyDescent="0.3">
      <c r="A130" s="10">
        <v>45017</v>
      </c>
      <c r="B130" s="6">
        <v>24628</v>
      </c>
      <c r="C130" s="6">
        <v>80364178840.509995</v>
      </c>
      <c r="D130" s="8">
        <v>1.2021E-2</v>
      </c>
      <c r="E130" s="8">
        <v>2.3349999999999999E-2</v>
      </c>
      <c r="F130" s="8">
        <v>0.5464</v>
      </c>
      <c r="G130" s="6">
        <v>0.1244</v>
      </c>
      <c r="H130" s="6">
        <v>37</v>
      </c>
      <c r="I130" s="6">
        <v>2.516</v>
      </c>
      <c r="J130" s="6">
        <v>5.7370000000000001</v>
      </c>
      <c r="K130" s="6">
        <v>4.7220000000000004</v>
      </c>
      <c r="L130" s="6">
        <v>110.7</v>
      </c>
    </row>
    <row r="131" spans="1:12" x14ac:dyDescent="0.3">
      <c r="A131" s="9">
        <v>45047</v>
      </c>
      <c r="B131" s="5">
        <v>24698</v>
      </c>
      <c r="C131" s="5">
        <v>80623434673.940002</v>
      </c>
      <c r="D131" s="7">
        <v>1.2023000000000001E-2</v>
      </c>
      <c r="E131" s="7">
        <v>2.3309E-2</v>
      </c>
      <c r="F131" s="7">
        <v>0.5464</v>
      </c>
      <c r="G131" s="5">
        <v>0.1239</v>
      </c>
      <c r="H131" s="5">
        <v>34</v>
      </c>
      <c r="I131" s="5">
        <v>3.0329999999999999</v>
      </c>
      <c r="J131" s="5">
        <v>5.47</v>
      </c>
      <c r="K131" s="5">
        <v>4.6609999999999996</v>
      </c>
      <c r="L131" s="5">
        <v>119.6</v>
      </c>
    </row>
    <row r="132" spans="1:12" x14ac:dyDescent="0.3">
      <c r="A132" s="10">
        <v>45078</v>
      </c>
      <c r="B132" s="6">
        <v>24745</v>
      </c>
      <c r="C132" s="6">
        <v>81045805741.479996</v>
      </c>
      <c r="D132" s="8">
        <v>1.2019E-2</v>
      </c>
      <c r="E132" s="8">
        <v>2.3290000000000002E-2</v>
      </c>
      <c r="F132" s="8">
        <v>0.54630000000000001</v>
      </c>
      <c r="G132" s="6">
        <v>0.1239</v>
      </c>
      <c r="H132" s="6">
        <v>39</v>
      </c>
      <c r="I132" s="6">
        <v>2.8809999999999998</v>
      </c>
      <c r="J132" s="6">
        <v>5.4370000000000003</v>
      </c>
      <c r="K132" s="6">
        <v>4.6029999999999998</v>
      </c>
      <c r="L132" s="6">
        <v>112.2</v>
      </c>
    </row>
    <row r="133" spans="1:12" x14ac:dyDescent="0.3">
      <c r="A133" s="9">
        <v>45108</v>
      </c>
      <c r="B133" s="5">
        <v>24750</v>
      </c>
      <c r="C133" s="5">
        <v>81136913306.460007</v>
      </c>
      <c r="D133" s="7">
        <v>1.1897E-2</v>
      </c>
      <c r="E133" s="7">
        <v>2.3199000000000001E-2</v>
      </c>
      <c r="F133" s="7">
        <v>0.54630000000000001</v>
      </c>
      <c r="G133" s="5">
        <v>0.124</v>
      </c>
      <c r="H133" s="5">
        <v>36</v>
      </c>
      <c r="I133" s="5">
        <v>2.7429999999999999</v>
      </c>
      <c r="J133" s="5">
        <v>5.61</v>
      </c>
      <c r="K133" s="5">
        <v>4.548</v>
      </c>
      <c r="L133" s="5">
        <v>118.6</v>
      </c>
    </row>
    <row r="134" spans="1:12" x14ac:dyDescent="0.3">
      <c r="A134" s="10">
        <v>45139</v>
      </c>
      <c r="B134" s="6">
        <v>24793</v>
      </c>
      <c r="C134" s="6">
        <v>81214749618.369995</v>
      </c>
      <c r="D134" s="8">
        <v>1.1860000000000001E-2</v>
      </c>
      <c r="E134" s="8">
        <v>2.3118E-2</v>
      </c>
      <c r="F134" s="8">
        <v>0.54659999999999997</v>
      </c>
      <c r="G134" s="6">
        <v>0.124</v>
      </c>
      <c r="H134" s="6">
        <v>39</v>
      </c>
      <c r="I134" s="6">
        <v>3.238</v>
      </c>
      <c r="J134" s="6">
        <v>5.7560000000000002</v>
      </c>
      <c r="K134" s="6">
        <v>4.4950000000000001</v>
      </c>
      <c r="L134" s="6">
        <v>123.3</v>
      </c>
    </row>
    <row r="135" spans="1:12" x14ac:dyDescent="0.3">
      <c r="A135" s="9">
        <v>45170</v>
      </c>
      <c r="B135" s="5">
        <v>24829</v>
      </c>
      <c r="C135" s="5">
        <v>81339540159.550003</v>
      </c>
      <c r="D135" s="7">
        <v>1.1788E-2</v>
      </c>
      <c r="E135" s="7">
        <v>2.2960000000000001E-2</v>
      </c>
      <c r="F135" s="7">
        <v>0.5464</v>
      </c>
      <c r="G135" s="5">
        <v>0.124</v>
      </c>
      <c r="H135" s="5">
        <v>36</v>
      </c>
      <c r="I135" s="5">
        <v>3.6869999999999998</v>
      </c>
      <c r="J135" s="5">
        <v>5.7839999999999998</v>
      </c>
      <c r="K135" s="5">
        <v>4.4450000000000003</v>
      </c>
      <c r="L135" s="5">
        <v>130.6</v>
      </c>
    </row>
    <row r="136" spans="1:12" x14ac:dyDescent="0.3">
      <c r="A136" s="10">
        <v>45200</v>
      </c>
      <c r="B136" s="6">
        <v>24830</v>
      </c>
      <c r="C136" s="6">
        <v>81384284696.020004</v>
      </c>
      <c r="D136" s="8">
        <v>1.1736999999999999E-2</v>
      </c>
      <c r="E136" s="8">
        <v>2.2911999999999998E-2</v>
      </c>
      <c r="F136" s="8">
        <v>0.54630000000000001</v>
      </c>
      <c r="G136" s="6">
        <v>0.124</v>
      </c>
      <c r="H136" s="6">
        <v>40</v>
      </c>
      <c r="I136" s="6">
        <v>3.48</v>
      </c>
      <c r="J136" s="6">
        <v>5.7549999999999999</v>
      </c>
      <c r="K136" s="6">
        <v>4.3979999999999997</v>
      </c>
      <c r="L136" s="6">
        <v>124.9</v>
      </c>
    </row>
    <row r="137" spans="1:12" x14ac:dyDescent="0.3">
      <c r="A137" s="9">
        <v>45231</v>
      </c>
      <c r="B137" s="5">
        <v>24860</v>
      </c>
      <c r="C137" s="5">
        <v>81444216787.279999</v>
      </c>
      <c r="D137" s="7">
        <v>1.1731999999999999E-2</v>
      </c>
      <c r="E137" s="7">
        <v>2.2884999999999999E-2</v>
      </c>
      <c r="F137" s="7">
        <v>0.54669999999999996</v>
      </c>
      <c r="G137" s="5">
        <v>0.1242</v>
      </c>
      <c r="H137" s="5">
        <v>28</v>
      </c>
      <c r="I137" s="5">
        <v>3.6789999999999998</v>
      </c>
      <c r="J137" s="5">
        <v>5.5410000000000004</v>
      </c>
      <c r="K137" s="5">
        <v>4.3529999999999998</v>
      </c>
      <c r="L137" s="5">
        <v>131.69999999999999</v>
      </c>
    </row>
    <row r="138" spans="1:12" x14ac:dyDescent="0.3">
      <c r="A138" s="10">
        <v>45261</v>
      </c>
      <c r="B138" s="6">
        <v>24933</v>
      </c>
      <c r="C138" s="6">
        <v>81501100348.809998</v>
      </c>
      <c r="D138" s="8">
        <v>1.1698E-2</v>
      </c>
      <c r="E138" s="8">
        <v>2.2769000000000001E-2</v>
      </c>
      <c r="F138" s="8">
        <v>0.54679999999999995</v>
      </c>
      <c r="G138" s="6">
        <v>0.1241</v>
      </c>
      <c r="H138" s="6">
        <v>51</v>
      </c>
      <c r="I138" s="6">
        <v>3.504</v>
      </c>
      <c r="J138" s="6">
        <v>5.6890000000000001</v>
      </c>
      <c r="K138" s="6">
        <v>4.3109999999999999</v>
      </c>
      <c r="L138" s="6">
        <v>137.5</v>
      </c>
    </row>
    <row r="139" spans="1:12" x14ac:dyDescent="0.3">
      <c r="A139" s="9">
        <v>45292</v>
      </c>
      <c r="B139" s="5">
        <v>24499</v>
      </c>
      <c r="C139" s="5">
        <v>80141131887.309998</v>
      </c>
      <c r="D139" s="7">
        <v>1.1679999999999999E-2</v>
      </c>
      <c r="E139" s="7">
        <v>2.2724000000000001E-2</v>
      </c>
      <c r="F139" s="7">
        <v>0.54679999999999995</v>
      </c>
      <c r="G139" s="5">
        <v>0.1242</v>
      </c>
      <c r="H139" s="5">
        <v>41</v>
      </c>
      <c r="I139" s="5">
        <v>3.9489999999999998</v>
      </c>
      <c r="J139" s="5">
        <v>5.7640000000000002</v>
      </c>
      <c r="K139" s="5">
        <v>4.2699999999999996</v>
      </c>
      <c r="L139" s="5">
        <v>124.2</v>
      </c>
    </row>
    <row r="140" spans="1:12" x14ac:dyDescent="0.3">
      <c r="A140" s="10">
        <v>45323</v>
      </c>
      <c r="B140" s="6">
        <v>24069</v>
      </c>
      <c r="C140" s="6">
        <v>78617470061.179993</v>
      </c>
      <c r="D140" s="8">
        <v>1.1656E-2</v>
      </c>
      <c r="E140" s="8">
        <v>2.2752000000000001E-2</v>
      </c>
      <c r="F140" s="8">
        <v>0.54679999999999995</v>
      </c>
      <c r="G140" s="6">
        <v>0.124</v>
      </c>
      <c r="H140" s="6">
        <v>39</v>
      </c>
      <c r="I140" s="6">
        <v>3.7839999999999998</v>
      </c>
      <c r="J140" s="6">
        <v>5.55</v>
      </c>
      <c r="K140" s="6">
        <v>4.2320000000000002</v>
      </c>
      <c r="L140" s="6">
        <v>120.6</v>
      </c>
    </row>
    <row r="141" spans="1:12" x14ac:dyDescent="0.3">
      <c r="A141" s="9">
        <v>45352</v>
      </c>
      <c r="B141" s="5">
        <v>23663</v>
      </c>
      <c r="C141" s="5">
        <v>77155632522.940002</v>
      </c>
      <c r="D141" s="7">
        <v>1.1707E-2</v>
      </c>
      <c r="E141" s="7">
        <v>2.2766999999999999E-2</v>
      </c>
      <c r="F141" s="7">
        <v>0.54669999999999996</v>
      </c>
      <c r="G141" s="5">
        <v>0.124</v>
      </c>
      <c r="H141" s="5">
        <v>32</v>
      </c>
      <c r="I141" s="5">
        <v>4.109</v>
      </c>
      <c r="J141" s="5">
        <v>5.6180000000000003</v>
      </c>
      <c r="K141" s="5">
        <v>4.1950000000000003</v>
      </c>
      <c r="L141" s="5">
        <v>116</v>
      </c>
    </row>
    <row r="142" spans="1:12" x14ac:dyDescent="0.3">
      <c r="A142" s="10">
        <v>45383</v>
      </c>
      <c r="B142" s="6">
        <v>23255</v>
      </c>
      <c r="C142" s="6">
        <v>75686466255.279999</v>
      </c>
      <c r="D142" s="8">
        <v>1.1564E-2</v>
      </c>
      <c r="E142" s="8">
        <v>2.2724999999999999E-2</v>
      </c>
      <c r="F142" s="8">
        <v>0.54649999999999999</v>
      </c>
      <c r="G142" s="6">
        <v>0.1242</v>
      </c>
      <c r="H142" s="6">
        <v>39</v>
      </c>
      <c r="I142" s="6">
        <v>3.6440000000000001</v>
      </c>
      <c r="J142" s="6">
        <v>5.5919999999999996</v>
      </c>
      <c r="K142" s="6">
        <v>4.16</v>
      </c>
      <c r="L142" s="6">
        <v>107.7</v>
      </c>
    </row>
    <row r="143" spans="1:12" x14ac:dyDescent="0.3">
      <c r="A143" s="9">
        <v>45413</v>
      </c>
      <c r="B143" s="5">
        <v>22853</v>
      </c>
      <c r="C143" s="5">
        <v>74149054649.330002</v>
      </c>
      <c r="D143" s="7">
        <v>1.1526E-2</v>
      </c>
      <c r="E143" s="7">
        <v>2.2703999999999998E-2</v>
      </c>
      <c r="F143" s="7">
        <v>0.54649999999999999</v>
      </c>
      <c r="G143" s="5">
        <v>0.1242</v>
      </c>
      <c r="H143" s="5">
        <v>41</v>
      </c>
      <c r="I143" s="5">
        <v>3.3290000000000002</v>
      </c>
      <c r="J143" s="5">
        <v>5.61</v>
      </c>
      <c r="K143" s="5">
        <v>4.1269999999999998</v>
      </c>
      <c r="L143" s="5">
        <v>119.1</v>
      </c>
    </row>
    <row r="144" spans="1:12" x14ac:dyDescent="0.3">
      <c r="A144" s="10">
        <v>45444</v>
      </c>
      <c r="B144" s="6">
        <v>22426</v>
      </c>
      <c r="C144" s="6">
        <v>72739095258.820007</v>
      </c>
      <c r="D144" s="8">
        <v>1.1422E-2</v>
      </c>
      <c r="E144" s="8">
        <v>2.2613000000000001E-2</v>
      </c>
      <c r="F144" s="8">
        <v>0.54659999999999997</v>
      </c>
      <c r="G144" s="6">
        <v>0.1242</v>
      </c>
      <c r="H144" s="6">
        <v>30</v>
      </c>
      <c r="I144" s="6">
        <v>3.4279999999999999</v>
      </c>
      <c r="J144" s="6">
        <v>5.2350000000000003</v>
      </c>
      <c r="K144" s="6">
        <v>4.0960000000000001</v>
      </c>
      <c r="L144" s="6">
        <v>122.7</v>
      </c>
    </row>
    <row r="145" spans="1:12" x14ac:dyDescent="0.3">
      <c r="A145" s="9">
        <v>45474</v>
      </c>
      <c r="B145" s="5">
        <v>21962</v>
      </c>
      <c r="C145" s="5">
        <v>71230657634.059998</v>
      </c>
      <c r="D145" s="7">
        <v>1.1372E-2</v>
      </c>
      <c r="E145" s="7">
        <v>2.2584E-2</v>
      </c>
      <c r="F145" s="7">
        <v>0.54659999999999997</v>
      </c>
      <c r="G145" s="5">
        <v>0.1241</v>
      </c>
      <c r="H145" s="5">
        <v>31</v>
      </c>
      <c r="I145" s="5">
        <v>3.3570000000000002</v>
      </c>
      <c r="J145" s="5">
        <v>5.2859999999999996</v>
      </c>
      <c r="K145" s="5">
        <v>4.0659999999999998</v>
      </c>
      <c r="L145" s="5">
        <v>136.30000000000001</v>
      </c>
    </row>
    <row r="146" spans="1:12" x14ac:dyDescent="0.3">
      <c r="A146" s="10">
        <v>45505</v>
      </c>
      <c r="B146" s="6">
        <v>21551</v>
      </c>
      <c r="C146" s="6">
        <v>70097586491.710007</v>
      </c>
      <c r="D146" s="8">
        <v>1.1365E-2</v>
      </c>
      <c r="E146" s="8">
        <v>2.2533999999999998E-2</v>
      </c>
      <c r="F146" s="8">
        <v>0.54659999999999997</v>
      </c>
      <c r="G146" s="6">
        <v>0.1242</v>
      </c>
      <c r="H146" s="6">
        <v>39</v>
      </c>
      <c r="I146" s="6">
        <v>2.6520000000000001</v>
      </c>
      <c r="J146" s="6">
        <v>5.1829999999999998</v>
      </c>
      <c r="K146" s="6">
        <v>4.0380000000000003</v>
      </c>
      <c r="L146" s="6">
        <v>140.4</v>
      </c>
    </row>
    <row r="147" spans="1:12" x14ac:dyDescent="0.3">
      <c r="A147" s="9">
        <v>45536</v>
      </c>
      <c r="B147" s="5">
        <v>21134</v>
      </c>
      <c r="C147" s="5">
        <v>68747518400.240005</v>
      </c>
      <c r="D147" s="7">
        <v>1.1305000000000001E-2</v>
      </c>
      <c r="E147" s="7">
        <v>2.2497E-2</v>
      </c>
      <c r="F147" s="7">
        <v>0.54659999999999997</v>
      </c>
      <c r="G147" s="5">
        <v>0.12429999999999999</v>
      </c>
      <c r="H147" s="5">
        <v>30</v>
      </c>
      <c r="I147" s="5">
        <v>2.1629999999999998</v>
      </c>
      <c r="J147" s="5">
        <v>5.3949999999999996</v>
      </c>
      <c r="K147" s="5">
        <v>4.0110000000000001</v>
      </c>
      <c r="L147" s="5">
        <v>142.30000000000001</v>
      </c>
    </row>
    <row r="148" spans="1:12" x14ac:dyDescent="0.3">
      <c r="A148" s="10">
        <v>45566</v>
      </c>
      <c r="B148" s="6">
        <v>20683</v>
      </c>
      <c r="C148" s="6">
        <v>67185888644.919998</v>
      </c>
      <c r="D148" s="8">
        <v>1.1294999999999999E-2</v>
      </c>
      <c r="E148" s="8">
        <v>2.239E-2</v>
      </c>
      <c r="F148" s="8">
        <v>0.54659999999999997</v>
      </c>
      <c r="G148" s="6">
        <v>0.1239</v>
      </c>
      <c r="H148" s="6">
        <v>33</v>
      </c>
      <c r="I148" s="6">
        <v>2.4500000000000002</v>
      </c>
      <c r="J148" s="6">
        <v>5.29</v>
      </c>
      <c r="K148" s="6">
        <v>3.9849999999999999</v>
      </c>
      <c r="L148" s="6">
        <v>147.6</v>
      </c>
    </row>
    <row r="149" spans="1:12" x14ac:dyDescent="0.3">
      <c r="A149" s="9">
        <v>45597</v>
      </c>
      <c r="B149" s="5">
        <v>20268</v>
      </c>
      <c r="C149" s="5">
        <v>65894813697.510002</v>
      </c>
      <c r="D149" s="7">
        <v>1.1213000000000001E-2</v>
      </c>
      <c r="E149" s="7">
        <v>2.231E-2</v>
      </c>
      <c r="F149" s="7">
        <v>0.54649999999999999</v>
      </c>
      <c r="G149" s="5">
        <v>0.124</v>
      </c>
      <c r="H149" s="5">
        <v>26</v>
      </c>
      <c r="I149" s="5">
        <v>2.7759999999999998</v>
      </c>
      <c r="J149" s="5">
        <v>5.31</v>
      </c>
      <c r="K149" s="5">
        <v>3.9609999999999999</v>
      </c>
      <c r="L149" s="5">
        <v>147.69999999999999</v>
      </c>
    </row>
    <row r="150" spans="1:12" x14ac:dyDescent="0.3">
      <c r="A150" s="10">
        <v>45627</v>
      </c>
      <c r="B150" s="6">
        <v>19792</v>
      </c>
      <c r="C150" s="6">
        <v>64267810179.470001</v>
      </c>
      <c r="D150" s="8">
        <v>1.1254999999999999E-2</v>
      </c>
      <c r="E150" s="8">
        <v>2.2290000000000001E-2</v>
      </c>
      <c r="F150" s="8">
        <v>0.5464</v>
      </c>
      <c r="G150" s="6">
        <v>0.1236</v>
      </c>
      <c r="H150" s="6">
        <v>29</v>
      </c>
      <c r="I150" s="6">
        <v>2.8290000000000002</v>
      </c>
      <c r="J150" s="6">
        <v>5.165</v>
      </c>
      <c r="K150" s="6">
        <v>3.9380000000000002</v>
      </c>
      <c r="L150" s="6">
        <v>144.80000000000001</v>
      </c>
    </row>
  </sheetData>
  <mergeCells count="1">
    <mergeCell ref="A1:I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showGridLines="0" workbookViewId="0"/>
  </sheetViews>
  <sheetFormatPr defaultRowHeight="14.4" x14ac:dyDescent="0.3"/>
  <cols>
    <col min="1" max="1" width="30" customWidth="1"/>
    <col min="2" max="3" width="55" customWidth="1"/>
  </cols>
  <sheetData>
    <row r="1" spans="1:6" ht="28.05" customHeight="1" x14ac:dyDescent="0.3">
      <c r="A1" s="14" t="s">
        <v>248</v>
      </c>
      <c r="B1" s="13"/>
      <c r="C1" s="13"/>
      <c r="D1" s="13"/>
      <c r="E1" s="13"/>
      <c r="F1" s="13"/>
    </row>
    <row r="3" spans="1:6" x14ac:dyDescent="0.3">
      <c r="A3" s="4" t="s">
        <v>249</v>
      </c>
      <c r="B3" s="4" t="s">
        <v>250</v>
      </c>
      <c r="C3" s="4" t="s">
        <v>251</v>
      </c>
    </row>
    <row r="4" spans="1:6" ht="39.6" x14ac:dyDescent="0.3">
      <c r="A4" s="11" t="s">
        <v>252</v>
      </c>
      <c r="B4" s="11" t="s">
        <v>253</v>
      </c>
      <c r="C4" s="11" t="s">
        <v>254</v>
      </c>
    </row>
    <row r="5" spans="1:6" ht="39.6" x14ac:dyDescent="0.3">
      <c r="A5" s="12" t="s">
        <v>255</v>
      </c>
      <c r="B5" s="12" t="s">
        <v>256</v>
      </c>
      <c r="C5" s="12" t="s">
        <v>257</v>
      </c>
    </row>
    <row r="6" spans="1:6" ht="39.6" x14ac:dyDescent="0.3">
      <c r="A6" s="11" t="s">
        <v>258</v>
      </c>
      <c r="B6" s="11" t="s">
        <v>259</v>
      </c>
      <c r="C6" s="11" t="s">
        <v>260</v>
      </c>
    </row>
    <row r="7" spans="1:6" ht="52.8" x14ac:dyDescent="0.3">
      <c r="A7" s="12" t="s">
        <v>261</v>
      </c>
      <c r="B7" s="12" t="s">
        <v>262</v>
      </c>
      <c r="C7" s="12" t="s">
        <v>263</v>
      </c>
    </row>
    <row r="8" spans="1:6" ht="52.8" x14ac:dyDescent="0.3">
      <c r="A8" s="11" t="s">
        <v>264</v>
      </c>
      <c r="B8" s="11" t="s">
        <v>265</v>
      </c>
      <c r="C8" s="11" t="s">
        <v>266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showGridLines="0" workbookViewId="0"/>
  </sheetViews>
  <sheetFormatPr defaultRowHeight="14.4" x14ac:dyDescent="0.3"/>
  <cols>
    <col min="1" max="2" width="16" customWidth="1"/>
    <col min="3" max="3" width="13" customWidth="1"/>
    <col min="4" max="4" width="14" customWidth="1"/>
    <col min="5" max="5" width="12" customWidth="1"/>
  </cols>
  <sheetData>
    <row r="1" spans="1:6" ht="28.05" customHeight="1" x14ac:dyDescent="0.3">
      <c r="A1" s="14" t="s">
        <v>267</v>
      </c>
      <c r="B1" s="13"/>
      <c r="C1" s="13"/>
      <c r="D1" s="13"/>
      <c r="E1" s="13"/>
      <c r="F1" s="13"/>
    </row>
    <row r="3" spans="1:6" x14ac:dyDescent="0.3">
      <c r="A3" s="1" t="s">
        <v>268</v>
      </c>
    </row>
    <row r="4" spans="1:6" x14ac:dyDescent="0.3">
      <c r="A4" s="4" t="s">
        <v>103</v>
      </c>
      <c r="B4" s="4" t="s">
        <v>269</v>
      </c>
      <c r="C4" s="4" t="s">
        <v>270</v>
      </c>
      <c r="D4" s="4" t="s">
        <v>131</v>
      </c>
      <c r="E4" s="4" t="s">
        <v>271</v>
      </c>
    </row>
    <row r="5" spans="1:6" x14ac:dyDescent="0.3">
      <c r="A5" s="5" t="s">
        <v>117</v>
      </c>
      <c r="B5" s="5">
        <v>30166694281.060001</v>
      </c>
      <c r="C5" s="7">
        <v>18.29</v>
      </c>
      <c r="D5" s="7">
        <v>0.14749999999999999</v>
      </c>
      <c r="E5" s="7">
        <v>1.048E-2</v>
      </c>
    </row>
    <row r="6" spans="1:6" x14ac:dyDescent="0.3">
      <c r="A6" s="6" t="s">
        <v>129</v>
      </c>
      <c r="B6" s="6">
        <v>25305432304.18</v>
      </c>
      <c r="C6" s="8">
        <v>15.34</v>
      </c>
      <c r="D6" s="8">
        <v>0.1394</v>
      </c>
      <c r="E6" s="8">
        <v>1.035E-2</v>
      </c>
    </row>
    <row r="7" spans="1:6" x14ac:dyDescent="0.3">
      <c r="A7" s="5" t="s">
        <v>127</v>
      </c>
      <c r="B7" s="5">
        <v>22069987323.279999</v>
      </c>
      <c r="C7" s="7">
        <v>13.38</v>
      </c>
      <c r="D7" s="7">
        <v>0.13350000000000001</v>
      </c>
      <c r="E7" s="7">
        <v>1.069E-2</v>
      </c>
    </row>
    <row r="8" spans="1:6" x14ac:dyDescent="0.3">
      <c r="A8" s="6" t="s">
        <v>108</v>
      </c>
      <c r="B8" s="6">
        <v>20935495607.790001</v>
      </c>
      <c r="C8" s="8">
        <v>12.69</v>
      </c>
      <c r="D8" s="8">
        <v>0.14460000000000001</v>
      </c>
      <c r="E8" s="8">
        <v>1.1820000000000001E-2</v>
      </c>
    </row>
    <row r="9" spans="1:6" x14ac:dyDescent="0.3">
      <c r="A9" s="5" t="s">
        <v>111</v>
      </c>
      <c r="B9" s="5">
        <v>18910385182.720001</v>
      </c>
      <c r="C9" s="7">
        <v>11.47</v>
      </c>
      <c r="D9" s="7">
        <v>0.13489999999999999</v>
      </c>
      <c r="E9" s="7">
        <v>1.085E-2</v>
      </c>
    </row>
    <row r="10" spans="1:6" x14ac:dyDescent="0.3">
      <c r="A10" s="6" t="s">
        <v>120</v>
      </c>
      <c r="B10" s="6">
        <v>15712153602.549999</v>
      </c>
      <c r="C10" s="8">
        <v>9.5299999999999994</v>
      </c>
      <c r="D10" s="8">
        <v>0.14410000000000001</v>
      </c>
      <c r="E10" s="8">
        <v>1.2500000000000001E-2</v>
      </c>
    </row>
    <row r="11" spans="1:6" x14ac:dyDescent="0.3">
      <c r="A11" s="5" t="s">
        <v>125</v>
      </c>
      <c r="B11" s="5">
        <v>12773050110.74</v>
      </c>
      <c r="C11" s="7">
        <v>7.74</v>
      </c>
      <c r="D11" s="7">
        <v>0.1363</v>
      </c>
      <c r="E11" s="7">
        <v>1.6760000000000001E-2</v>
      </c>
    </row>
    <row r="12" spans="1:6" x14ac:dyDescent="0.3">
      <c r="A12" s="6" t="s">
        <v>123</v>
      </c>
      <c r="B12" s="6">
        <v>10047744439.08</v>
      </c>
      <c r="C12" s="8">
        <v>6.09</v>
      </c>
      <c r="D12" s="8">
        <v>0.13189999999999999</v>
      </c>
      <c r="E12" s="8">
        <v>1.1769999999999999E-2</v>
      </c>
    </row>
    <row r="13" spans="1:6" x14ac:dyDescent="0.3">
      <c r="A13" s="5" t="s">
        <v>114</v>
      </c>
      <c r="B13" s="5">
        <v>5049910318.6999998</v>
      </c>
      <c r="C13" s="7">
        <v>3.06</v>
      </c>
      <c r="D13" s="7">
        <v>0.13700000000000001</v>
      </c>
      <c r="E13" s="7">
        <v>1.367E-2</v>
      </c>
    </row>
    <row r="14" spans="1:6" x14ac:dyDescent="0.3">
      <c r="A14" s="6" t="s">
        <v>128</v>
      </c>
      <c r="B14" s="6">
        <v>3959380562.1599998</v>
      </c>
      <c r="C14" s="8">
        <v>2.4</v>
      </c>
      <c r="D14" s="8">
        <v>0.1406</v>
      </c>
      <c r="E14" s="8">
        <v>1.507E-2</v>
      </c>
    </row>
    <row r="17" spans="1:4" x14ac:dyDescent="0.3">
      <c r="A17" s="1" t="s">
        <v>272</v>
      </c>
    </row>
    <row r="18" spans="1:4" x14ac:dyDescent="0.3">
      <c r="A18" s="4" t="s">
        <v>107</v>
      </c>
      <c r="B18" s="4" t="s">
        <v>269</v>
      </c>
      <c r="C18" s="4" t="s">
        <v>270</v>
      </c>
      <c r="D18" s="4" t="s">
        <v>131</v>
      </c>
    </row>
    <row r="19" spans="1:4" x14ac:dyDescent="0.3">
      <c r="A19" s="5" t="s">
        <v>110</v>
      </c>
      <c r="B19" s="5">
        <v>5484929883.4399996</v>
      </c>
      <c r="C19" s="7">
        <v>3.33</v>
      </c>
      <c r="D19" s="7">
        <v>5.2299999999999999E-2</v>
      </c>
    </row>
    <row r="20" spans="1:4" x14ac:dyDescent="0.3">
      <c r="A20" s="6" t="s">
        <v>113</v>
      </c>
      <c r="B20" s="6">
        <v>12730710043.07</v>
      </c>
      <c r="C20" s="8">
        <v>7.72</v>
      </c>
      <c r="D20" s="8">
        <v>6.3899999999999998E-2</v>
      </c>
    </row>
    <row r="21" spans="1:4" x14ac:dyDescent="0.3">
      <c r="A21" s="5" t="s">
        <v>116</v>
      </c>
      <c r="B21" s="5">
        <v>25358306296.07</v>
      </c>
      <c r="C21" s="7">
        <v>15.38</v>
      </c>
      <c r="D21" s="7">
        <v>6.3899999999999998E-2</v>
      </c>
    </row>
    <row r="22" spans="1:4" x14ac:dyDescent="0.3">
      <c r="A22" s="6" t="s">
        <v>119</v>
      </c>
      <c r="B22" s="6">
        <v>44981490668.480003</v>
      </c>
      <c r="C22" s="8">
        <v>27.27</v>
      </c>
      <c r="D22" s="8">
        <v>7.0400000000000004E-2</v>
      </c>
    </row>
    <row r="23" spans="1:4" x14ac:dyDescent="0.3">
      <c r="A23" s="5" t="s">
        <v>122</v>
      </c>
      <c r="B23" s="5">
        <v>37118052278.629997</v>
      </c>
      <c r="C23" s="7">
        <v>22.51</v>
      </c>
      <c r="D23" s="7">
        <v>0.11169999999999999</v>
      </c>
    </row>
    <row r="24" spans="1:4" x14ac:dyDescent="0.3">
      <c r="A24" s="6" t="s">
        <v>124</v>
      </c>
      <c r="B24" s="6">
        <v>24880420323.82</v>
      </c>
      <c r="C24" s="8">
        <v>15.09</v>
      </c>
      <c r="D24" s="8">
        <v>0.21829999999999999</v>
      </c>
    </row>
    <row r="25" spans="1:4" x14ac:dyDescent="0.3">
      <c r="A25" s="5" t="s">
        <v>126</v>
      </c>
      <c r="B25" s="5">
        <v>14376324238.75</v>
      </c>
      <c r="C25" s="7">
        <v>8.7200000000000006</v>
      </c>
      <c r="D25" s="7">
        <v>0.50870000000000004</v>
      </c>
    </row>
  </sheetData>
  <mergeCells count="1">
    <mergeCell ref="A1:F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2"/>
  <sheetViews>
    <sheetView showGridLines="0" workbookViewId="0"/>
  </sheetViews>
  <sheetFormatPr defaultRowHeight="14.4" x14ac:dyDescent="0.3"/>
  <cols>
    <col min="1" max="5" width="35" customWidth="1"/>
  </cols>
  <sheetData>
    <row r="1" spans="1:5" ht="28.05" customHeight="1" x14ac:dyDescent="0.3">
      <c r="A1" s="14" t="s">
        <v>273</v>
      </c>
      <c r="B1" s="13"/>
      <c r="C1" s="13"/>
      <c r="D1" s="13"/>
      <c r="E1" s="13"/>
    </row>
    <row r="3" spans="1:5" x14ac:dyDescent="0.3">
      <c r="A3" s="1" t="s">
        <v>274</v>
      </c>
    </row>
    <row r="4" spans="1:5" x14ac:dyDescent="0.3">
      <c r="A4" s="4" t="s">
        <v>275</v>
      </c>
      <c r="B4" s="4" t="s">
        <v>276</v>
      </c>
      <c r="C4" s="4" t="s">
        <v>277</v>
      </c>
    </row>
    <row r="5" spans="1:5" ht="26.4" x14ac:dyDescent="0.3">
      <c r="A5" s="11" t="s">
        <v>278</v>
      </c>
      <c r="B5" s="11" t="s">
        <v>279</v>
      </c>
      <c r="C5" s="11" t="s">
        <v>280</v>
      </c>
    </row>
    <row r="6" spans="1:5" ht="26.4" x14ac:dyDescent="0.3">
      <c r="A6" s="12" t="s">
        <v>281</v>
      </c>
      <c r="B6" s="12" t="s">
        <v>282</v>
      </c>
      <c r="C6" s="12" t="s">
        <v>283</v>
      </c>
    </row>
    <row r="7" spans="1:5" x14ac:dyDescent="0.3">
      <c r="A7" s="11" t="s">
        <v>284</v>
      </c>
      <c r="B7" s="11" t="s">
        <v>285</v>
      </c>
      <c r="C7" s="11" t="s">
        <v>38</v>
      </c>
    </row>
    <row r="8" spans="1:5" ht="26.4" x14ac:dyDescent="0.3">
      <c r="A8" s="12" t="s">
        <v>286</v>
      </c>
      <c r="B8" s="12" t="s">
        <v>287</v>
      </c>
      <c r="C8" s="12" t="s">
        <v>283</v>
      </c>
    </row>
    <row r="9" spans="1:5" ht="26.4" x14ac:dyDescent="0.3">
      <c r="A9" s="11" t="s">
        <v>288</v>
      </c>
      <c r="B9" s="11" t="s">
        <v>289</v>
      </c>
      <c r="C9" s="11" t="s">
        <v>283</v>
      </c>
    </row>
    <row r="10" spans="1:5" ht="26.4" x14ac:dyDescent="0.3">
      <c r="A10" s="12" t="s">
        <v>290</v>
      </c>
      <c r="B10" s="12" t="s">
        <v>291</v>
      </c>
      <c r="C10" s="12" t="s">
        <v>38</v>
      </c>
    </row>
    <row r="11" spans="1:5" x14ac:dyDescent="0.3">
      <c r="A11" s="11" t="s">
        <v>292</v>
      </c>
      <c r="B11" s="11" t="s">
        <v>293</v>
      </c>
      <c r="C11" s="11" t="s">
        <v>47</v>
      </c>
    </row>
    <row r="12" spans="1:5" ht="26.4" x14ac:dyDescent="0.3">
      <c r="A12" s="12" t="s">
        <v>294</v>
      </c>
      <c r="B12" s="12" t="s">
        <v>295</v>
      </c>
      <c r="C12" s="12" t="s">
        <v>48</v>
      </c>
    </row>
    <row r="13" spans="1:5" ht="26.4" x14ac:dyDescent="0.3">
      <c r="A13" s="11" t="s">
        <v>296</v>
      </c>
      <c r="B13" s="11" t="s">
        <v>297</v>
      </c>
      <c r="C13" s="11" t="s">
        <v>49</v>
      </c>
    </row>
    <row r="14" spans="1:5" x14ac:dyDescent="0.3">
      <c r="A14" s="12" t="s">
        <v>298</v>
      </c>
      <c r="B14" s="12" t="s">
        <v>299</v>
      </c>
      <c r="C14" s="12" t="s">
        <v>44</v>
      </c>
    </row>
    <row r="17" spans="1:5" x14ac:dyDescent="0.3">
      <c r="A17" s="1" t="s">
        <v>300</v>
      </c>
    </row>
    <row r="18" spans="1:5" x14ac:dyDescent="0.3">
      <c r="A18" s="4" t="s">
        <v>301</v>
      </c>
      <c r="B18" s="4" t="s">
        <v>302</v>
      </c>
      <c r="C18" s="4" t="s">
        <v>303</v>
      </c>
      <c r="D18" s="4" t="s">
        <v>304</v>
      </c>
      <c r="E18" s="4" t="s">
        <v>305</v>
      </c>
    </row>
    <row r="19" spans="1:5" ht="26.4" x14ac:dyDescent="0.3">
      <c r="A19" s="11" t="s">
        <v>306</v>
      </c>
      <c r="B19" s="11" t="s">
        <v>307</v>
      </c>
      <c r="C19" s="11" t="s">
        <v>308</v>
      </c>
      <c r="D19" s="11" t="s">
        <v>308</v>
      </c>
      <c r="E19" s="11" t="s">
        <v>309</v>
      </c>
    </row>
    <row r="20" spans="1:5" ht="26.4" x14ac:dyDescent="0.3">
      <c r="A20" s="12" t="s">
        <v>310</v>
      </c>
      <c r="B20" s="12" t="s">
        <v>311</v>
      </c>
      <c r="C20" s="12" t="s">
        <v>312</v>
      </c>
      <c r="D20" s="12" t="s">
        <v>313</v>
      </c>
      <c r="E20" s="12" t="s">
        <v>314</v>
      </c>
    </row>
    <row r="21" spans="1:5" ht="26.4" x14ac:dyDescent="0.3">
      <c r="A21" s="11" t="s">
        <v>315</v>
      </c>
      <c r="B21" s="11" t="s">
        <v>316</v>
      </c>
      <c r="C21" s="11" t="s">
        <v>312</v>
      </c>
      <c r="D21" s="11" t="s">
        <v>317</v>
      </c>
      <c r="E21" s="11" t="s">
        <v>318</v>
      </c>
    </row>
    <row r="22" spans="1:5" ht="26.4" x14ac:dyDescent="0.3">
      <c r="A22" s="12" t="s">
        <v>319</v>
      </c>
      <c r="B22" s="12" t="s">
        <v>320</v>
      </c>
      <c r="C22" s="12" t="s">
        <v>103</v>
      </c>
      <c r="D22" s="12" t="s">
        <v>321</v>
      </c>
      <c r="E22" s="12" t="s">
        <v>322</v>
      </c>
    </row>
    <row r="23" spans="1:5" ht="26.4" x14ac:dyDescent="0.3">
      <c r="A23" s="11" t="s">
        <v>323</v>
      </c>
      <c r="B23" s="11" t="s">
        <v>324</v>
      </c>
      <c r="C23" s="11" t="s">
        <v>103</v>
      </c>
      <c r="D23" s="11" t="s">
        <v>270</v>
      </c>
      <c r="E23" s="11" t="s">
        <v>325</v>
      </c>
    </row>
    <row r="24" spans="1:5" ht="26.4" x14ac:dyDescent="0.3">
      <c r="A24" s="12" t="s">
        <v>326</v>
      </c>
      <c r="B24" s="12" t="s">
        <v>320</v>
      </c>
      <c r="C24" s="12" t="s">
        <v>327</v>
      </c>
      <c r="D24" s="12" t="s">
        <v>131</v>
      </c>
      <c r="E24" s="12" t="s">
        <v>328</v>
      </c>
    </row>
    <row r="25" spans="1:5" ht="26.4" x14ac:dyDescent="0.3">
      <c r="A25" s="11" t="s">
        <v>329</v>
      </c>
      <c r="B25" s="11" t="s">
        <v>330</v>
      </c>
      <c r="C25" s="11" t="s">
        <v>331</v>
      </c>
      <c r="D25" s="11" t="s">
        <v>332</v>
      </c>
      <c r="E25" s="11" t="s">
        <v>333</v>
      </c>
    </row>
    <row r="26" spans="1:5" ht="39.6" x14ac:dyDescent="0.3">
      <c r="A26" s="12" t="s">
        <v>334</v>
      </c>
      <c r="B26" s="12" t="s">
        <v>335</v>
      </c>
      <c r="C26" s="12" t="s">
        <v>336</v>
      </c>
      <c r="D26" s="12" t="s">
        <v>337</v>
      </c>
      <c r="E26" s="12" t="s">
        <v>338</v>
      </c>
    </row>
    <row r="27" spans="1:5" ht="39.6" x14ac:dyDescent="0.3">
      <c r="A27" s="11" t="s">
        <v>339</v>
      </c>
      <c r="B27" s="11" t="s">
        <v>340</v>
      </c>
      <c r="C27" s="11" t="s">
        <v>103</v>
      </c>
      <c r="D27" s="11" t="s">
        <v>341</v>
      </c>
      <c r="E27" s="11" t="s">
        <v>342</v>
      </c>
    </row>
    <row r="28" spans="1:5" ht="26.4" x14ac:dyDescent="0.3">
      <c r="A28" s="12" t="s">
        <v>343</v>
      </c>
      <c r="B28" s="12" t="s">
        <v>344</v>
      </c>
      <c r="C28" s="12" t="s">
        <v>345</v>
      </c>
      <c r="D28" s="12" t="s">
        <v>346</v>
      </c>
      <c r="E28" s="12" t="s">
        <v>347</v>
      </c>
    </row>
    <row r="29" spans="1:5" ht="26.4" x14ac:dyDescent="0.3">
      <c r="A29" s="11" t="s">
        <v>348</v>
      </c>
      <c r="B29" s="11" t="s">
        <v>349</v>
      </c>
      <c r="C29" s="11" t="s">
        <v>350</v>
      </c>
      <c r="D29" s="11" t="s">
        <v>351</v>
      </c>
      <c r="E29" s="11" t="s">
        <v>352</v>
      </c>
    </row>
    <row r="30" spans="1:5" ht="26.4" x14ac:dyDescent="0.3">
      <c r="A30" s="12" t="s">
        <v>353</v>
      </c>
      <c r="B30" s="12" t="s">
        <v>320</v>
      </c>
      <c r="C30" s="12" t="s">
        <v>144</v>
      </c>
      <c r="D30" s="12" t="s">
        <v>131</v>
      </c>
      <c r="E30" s="12" t="s">
        <v>354</v>
      </c>
    </row>
    <row r="31" spans="1:5" ht="26.4" x14ac:dyDescent="0.3">
      <c r="A31" s="11" t="s">
        <v>355</v>
      </c>
      <c r="B31" s="11" t="s">
        <v>356</v>
      </c>
      <c r="C31" s="11" t="s">
        <v>357</v>
      </c>
      <c r="D31" s="11" t="s">
        <v>358</v>
      </c>
      <c r="E31" s="11" t="s">
        <v>359</v>
      </c>
    </row>
    <row r="32" spans="1:5" ht="26.4" x14ac:dyDescent="0.3">
      <c r="A32" s="12" t="s">
        <v>360</v>
      </c>
      <c r="B32" s="12" t="s">
        <v>361</v>
      </c>
      <c r="C32" s="12" t="s">
        <v>362</v>
      </c>
      <c r="D32" s="12" t="s">
        <v>363</v>
      </c>
      <c r="E32" s="12" t="s">
        <v>364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showGridLines="0" workbookViewId="0"/>
  </sheetViews>
  <sheetFormatPr defaultRowHeight="14.4" x14ac:dyDescent="0.3"/>
  <cols>
    <col min="1" max="1" width="4" customWidth="1"/>
    <col min="2" max="4" width="55" customWidth="1"/>
  </cols>
  <sheetData>
    <row r="1" spans="1:4" ht="28.05" customHeight="1" x14ac:dyDescent="0.3">
      <c r="A1" s="14" t="s">
        <v>365</v>
      </c>
      <c r="B1" s="13"/>
      <c r="C1" s="13"/>
      <c r="D1" s="13"/>
    </row>
    <row r="3" spans="1:4" x14ac:dyDescent="0.3">
      <c r="A3" s="4" t="s">
        <v>301</v>
      </c>
      <c r="B3" s="4" t="s">
        <v>61</v>
      </c>
      <c r="C3" s="4" t="s">
        <v>366</v>
      </c>
      <c r="D3" s="4" t="s">
        <v>367</v>
      </c>
    </row>
    <row r="4" spans="1:4" ht="39.6" x14ac:dyDescent="0.3">
      <c r="A4" s="11" t="s">
        <v>306</v>
      </c>
      <c r="B4" s="11" t="s">
        <v>368</v>
      </c>
      <c r="C4" s="11" t="s">
        <v>369</v>
      </c>
      <c r="D4" s="11" t="s">
        <v>370</v>
      </c>
    </row>
    <row r="5" spans="1:4" ht="79.2" x14ac:dyDescent="0.3">
      <c r="A5" s="12" t="s">
        <v>310</v>
      </c>
      <c r="B5" s="12" t="s">
        <v>371</v>
      </c>
      <c r="C5" s="12" t="s">
        <v>372</v>
      </c>
      <c r="D5" s="12" t="s">
        <v>373</v>
      </c>
    </row>
    <row r="6" spans="1:4" ht="52.8" x14ac:dyDescent="0.3">
      <c r="A6" s="11" t="s">
        <v>315</v>
      </c>
      <c r="B6" s="11" t="s">
        <v>374</v>
      </c>
      <c r="C6" s="11" t="s">
        <v>375</v>
      </c>
      <c r="D6" s="11" t="s">
        <v>376</v>
      </c>
    </row>
    <row r="7" spans="1:4" ht="39.6" x14ac:dyDescent="0.3">
      <c r="A7" s="12" t="s">
        <v>319</v>
      </c>
      <c r="B7" s="12" t="s">
        <v>377</v>
      </c>
      <c r="C7" s="12" t="s">
        <v>378</v>
      </c>
      <c r="D7" s="12" t="s">
        <v>379</v>
      </c>
    </row>
    <row r="8" spans="1:4" ht="52.8" x14ac:dyDescent="0.3">
      <c r="A8" s="11" t="s">
        <v>323</v>
      </c>
      <c r="B8" s="11" t="s">
        <v>380</v>
      </c>
      <c r="C8" s="11" t="s">
        <v>381</v>
      </c>
      <c r="D8" s="11" t="s">
        <v>382</v>
      </c>
    </row>
    <row r="9" spans="1:4" ht="66" x14ac:dyDescent="0.3">
      <c r="A9" s="12" t="s">
        <v>326</v>
      </c>
      <c r="B9" s="12" t="s">
        <v>383</v>
      </c>
      <c r="C9" s="12" t="s">
        <v>384</v>
      </c>
      <c r="D9" s="12" t="s">
        <v>385</v>
      </c>
    </row>
    <row r="10" spans="1:4" ht="66" x14ac:dyDescent="0.3">
      <c r="A10" s="11" t="s">
        <v>329</v>
      </c>
      <c r="B10" s="11" t="s">
        <v>386</v>
      </c>
      <c r="C10" s="11" t="s">
        <v>387</v>
      </c>
      <c r="D10" s="11" t="s">
        <v>388</v>
      </c>
    </row>
    <row r="11" spans="1:4" ht="52.8" x14ac:dyDescent="0.3">
      <c r="A11" s="12" t="s">
        <v>334</v>
      </c>
      <c r="B11" s="12" t="s">
        <v>389</v>
      </c>
      <c r="C11" s="12" t="s">
        <v>390</v>
      </c>
      <c r="D11" s="12" t="s">
        <v>391</v>
      </c>
    </row>
    <row r="12" spans="1:4" ht="52.8" x14ac:dyDescent="0.3">
      <c r="A12" s="11" t="s">
        <v>339</v>
      </c>
      <c r="B12" s="11" t="s">
        <v>392</v>
      </c>
      <c r="C12" s="11" t="s">
        <v>393</v>
      </c>
      <c r="D12" s="11" t="s">
        <v>394</v>
      </c>
    </row>
    <row r="13" spans="1:4" ht="52.8" x14ac:dyDescent="0.3">
      <c r="A13" s="12" t="s">
        <v>343</v>
      </c>
      <c r="B13" s="12" t="s">
        <v>395</v>
      </c>
      <c r="C13" s="12" t="s">
        <v>396</v>
      </c>
      <c r="D13" s="12" t="s">
        <v>397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Cover &amp; Summary</vt:lpstr>
      <vt:lpstr>2. Dataset Overview</vt:lpstr>
      <vt:lpstr>3. Data Quality</vt:lpstr>
      <vt:lpstr>4. Loan Portfolio EDA</vt:lpstr>
      <vt:lpstr>5. Credit Ratings</vt:lpstr>
      <vt:lpstr>6. Vintage Analysis</vt:lpstr>
      <vt:lpstr>7. Macro Stress</vt:lpstr>
      <vt:lpstr>8. Portfolio Metrics</vt:lpstr>
      <vt:lpstr>9. Cross-Dataset Analysis</vt:lpstr>
      <vt:lpstr>10. Risk Concentration</vt:lpstr>
      <vt:lpstr>11. KPI &amp; Viz Plan</vt:lpstr>
      <vt:lpstr>12. Findings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sharma</cp:lastModifiedBy>
  <dcterms:created xsi:type="dcterms:W3CDTF">2026-09-09T05:54:04Z</dcterms:created>
  <dcterms:modified xsi:type="dcterms:W3CDTF">2026-09-09T11:45:57Z</dcterms:modified>
</cp:coreProperties>
</file>